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ใบปะหน้า" sheetId="1" state="visible" r:id="rId3"/>
    <sheet name="ผลกระทบเล่ม 4" sheetId="2" state="visible" r:id="rId4"/>
    <sheet name="ประเด็นรอยืนยัน" sheetId="3" state="visible" r:id="rId5"/>
  </sheets>
  <definedNames>
    <definedName function="false" hidden="false" localSheetId="0" name="_xlnm.Print_Area" vbProcedure="false">ใบปะหน้า!$A$1:$G$31</definedName>
    <definedName function="false" hidden="true" localSheetId="2" name="_xlnm._FilterDatabase" vbProcedure="false">ประเด็นรอยืนยัน!$A$1:$H$27</definedName>
    <definedName function="false" hidden="false" localSheetId="1" name="_xlnm.Print_Titles" vbProcedure="false">'ผลกระทบเล่ม 4'!$3:$3</definedName>
    <definedName function="false" hidden="true" localSheetId="1" name="_xlnm._FilterDatabase" vbProcedure="false">'ผลกระทบเล่ม 4'!$A$3:$I$41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<sst xmlns="http://schemas.openxmlformats.org/spreadsheetml/2006/main" count="580" uniqueCount="411">
  <si>
    <t xml:space="preserve">ตารางสรุปผลกระทบต่อเล่ม 4 (Impact Analysis)</t>
  </si>
  <si>
    <t xml:space="preserve">การปรับ User Flow และ Data Flow Diagram กิจกรรมที่ 7 (V1.0.2 → V1.0.3)</t>
  </si>
  <si>
    <t xml:space="preserve">เล่ม 4 ออกแบบส่วนการติดต่อกับผู้ใช้งาน (User Interface Design) และออกแบบ Prototype — กิจกรรมที่ 7</t>
  </si>
  <si>
    <t xml:space="preserve">โครงการ</t>
  </si>
  <si>
    <t xml:space="preserve">โครงการพัฒนาระบบบริหารจัดการและติดตามสำนวนคดีทุจริตและประพฤติมิชอบในภาครัฐ (E-CMIS)</t>
  </si>
  <si>
    <t xml:space="preserve">กิจกรรม</t>
  </si>
  <si>
    <t xml:space="preserve">กิจกรรมที่ 7 พัฒนาระบบบริหารจัดการกระบวนงานพิจารณาและดำเนินการตามมติคณะกรรมการ ป.ป.ท.</t>
  </si>
  <si>
    <t xml:space="preserve">สัญญาเลขที่</t>
  </si>
  <si>
    <t xml:space="preserve">๑๔/๒๕๖๙</t>
  </si>
  <si>
    <t xml:space="preserve">เอกสารที่ได้รับผลกระทบ</t>
  </si>
  <si>
    <t xml:space="preserve">เล่ม 4 - กจ_7 ออกแบบส่วนการติดต่อกับผู้ใช้งาน V1.1 → V1.2 (User Flow) → V1.3 (Data Flow)</t>
  </si>
  <si>
    <t xml:space="preserve">ขอบเขต</t>
  </si>
  <si>
    <t xml:space="preserve">บทที่ 2 User Flow (กิจกรรมที่ 7 User Flow V1.0.3) และบทที่ 3 Data Flow Diagram (Context Diagram, Level 1, Level 2 V1.0.3) รวมจุดที่อาจกระทบบทที่ 4–5</t>
  </si>
  <si>
    <t xml:space="preserve">อ้างอิง</t>
  </si>
  <si>
    <t xml:space="preserve">ผลการตรวจ User Flow กิจกรรมที่ 7 (16 ต.ค. 2569), swimlane-flow-template, กติกา DFD (Level 0–2), บันทึกการแก้ไข 1791976367965</t>
  </si>
  <si>
    <t xml:space="preserve">เลขหน้า</t>
  </si>
  <si>
    <t xml:space="preserve">คอลัมน์ "หน้า/หัวข้อ" ใช้เลขหน้าของเล่มก่อนแก้ (User Flow = V1.1, Data Flow = V1.2) คอลัมน์สุดท้ายเป็นเลขหน้าในเล่ม V1.3 (ฉบับล่าสุด) เลขหน้าได้จากการแปลง PDF ด้วย LibreOffice อาจต่างจาก Word เล็กน้อย</t>
  </si>
  <si>
    <t xml:space="preserve">วันที่จัดทำ</t>
  </si>
  <si>
    <t xml:space="preserve">26/10/2569</t>
  </si>
  <si>
    <t xml:space="preserve">จัดทำโดย</t>
  </si>
  <si>
    <t xml:space="preserve">กิจการค้าร่วม SS CONSORTIUM</t>
  </si>
  <si>
    <t xml:space="preserve">สรุปสถานะรายการผลกระทบ (ชีต "ผลกระทบเล่ม 4")</t>
  </si>
  <si>
    <t xml:space="preserve">สถานะ</t>
  </si>
  <si>
    <t xml:space="preserve">ความหมาย</t>
  </si>
  <si>
    <t xml:space="preserve">User Flow</t>
  </si>
  <si>
    <t xml:space="preserve">Data Flow</t>
  </si>
  <si>
    <t xml:space="preserve">รวม</t>
  </si>
  <si>
    <t xml:space="preserve">แก้ไขแล้ว</t>
  </si>
  <si>
    <t xml:space="preserve">แก้ไขในเล่มแล้ว ไม่มีประเด็นค้าง</t>
  </si>
  <si>
    <t xml:space="preserve">แก้ไขแล้ว (มีรายการรอยืนยัน)</t>
  </si>
  <si>
    <t xml:space="preserve">แก้ไขแล้ว แต่ในภาพ/ตารางยังมีเครื่องหมาย [รอยืนยัน Qn/DQn]</t>
  </si>
  <si>
    <t xml:space="preserve">รอยืนยัน</t>
  </si>
  <si>
    <t xml:space="preserve">ยังไม่แก้ รอผู้เกี่ยวข้องยืนยัน</t>
  </si>
  <si>
    <t xml:space="preserve">รอข้อมูล</t>
  </si>
  <si>
    <t xml:space="preserve">ยังไม่แก้ เพราะข้อมูลยังไม่พอ</t>
  </si>
  <si>
    <t xml:space="preserve">ยังไม่แก้</t>
  </si>
  <si>
    <t xml:space="preserve">ยังไม่แก้ ด้วยเหตุผลที่ระบุ</t>
  </si>
  <si>
    <t xml:space="preserve">ไม่กระทบ</t>
  </si>
  <si>
    <t xml:space="preserve">ตรวจแล้ว ไม่ต้องแก้</t>
  </si>
  <si>
    <t xml:space="preserve">รวมทั้งหมด</t>
  </si>
  <si>
    <t xml:space="preserve">ประเด็นรอยืนยัน (ชีต "ประเด็นรอยืนยัน")</t>
  </si>
  <si>
    <t xml:space="preserve">ส่วน</t>
  </si>
  <si>
    <t xml:space="preserve">รหัส</t>
  </si>
  <si>
    <t xml:space="preserve">จำนวน</t>
  </si>
  <si>
    <t xml:space="preserve">Q1–Q13</t>
  </si>
  <si>
    <t xml:space="preserve">DQ1–DQ13</t>
  </si>
  <si>
    <t xml:space="preserve">หมายเหตุ: ตารางนี้รวม "ตารางสรุปผลกระทบต่อเล่ม 4" ของงาน User Flow และงาน Data Flow ไว้ในไฟล์เดียว รายละเอียดการแก้ไขแต่ละจุด (จากเดิม/แก้ไขเป็น/สถานะ/ผู้ยืนยัน) อยู่ในบันทึกการแก้ไข 1791976367965.xlsx</t>
  </si>
  <si>
    <t xml:space="preserve">ตารางสรุปผลกระทบต่อเล่ม 4 — User Flow และ Data Flow Diagram กิจกรรมที่ 7 (V1.0.2 → V1.0.3)</t>
  </si>
  <si>
    <t xml:space="preserve">User Flow: เลขหน้าเดิมตาม V1.1 · Data Flow: เลขหน้าเดิมตาม V1.2 · เลขหน้า V1.3 ตาม PDF ที่แปลงด้วย LibreOffice</t>
  </si>
  <si>
    <t xml:space="preserve">ลำดับ</t>
  </si>
  <si>
    <t xml:space="preserve">ส่วนที่ปรับ</t>
  </si>
  <si>
    <t xml:space="preserve">หน้า/หัวข้อ (เล่มก่อนแก้)</t>
  </si>
  <si>
    <t xml:space="preserve">เนื้อหาเดิม</t>
  </si>
  <si>
    <t xml:space="preserve">สิ่งที่ต้องแก้</t>
  </si>
  <si>
    <t xml:space="preserve">เหตุผลและแหล่งอ้างอิง</t>
  </si>
  <si>
    <t xml:space="preserve">หน้าในเล่ม V1.3 (ฉบับล่าสุด)</t>
  </si>
  <si>
    <t xml:space="preserve">สิ่งที่ต้องยืนยันหรือสิ่งที่ติด</t>
  </si>
  <si>
    <t xml:space="preserve">หน้า 2 (V1.1) / ตารางบันทึกการแก้ไข (ต้นเล่ม)</t>
  </si>
  <si>
    <t xml:space="preserve">- มี 2 แถว (เวอร์ชัน 1.0 และ 1.1)</t>
  </si>
  <si>
    <t xml:space="preserve">- เพิ่มแถวเวอร์ชัน 1.2 (ปรับ User Flow บทที่ 2)</t>
  </si>
  <si>
    <t xml:space="preserve">ตรวจสอบย้อนกลับได้</t>
  </si>
  <si>
    <t xml:space="preserve">2</t>
  </si>
  <si>
    <t xml:space="preserve">ระบุชื่อผู้ดำเนินการแทน "ร่างโดย AI – รอระบุผู้ดำเนินการ"</t>
  </si>
  <si>
    <t xml:space="preserve">หน้า 6 (V1.1) / บทที่ 2 ย่อหน้าแนะนำ</t>
  </si>
  <si>
    <t xml:space="preserve">- ไม่มีคำอธิบายสัญลักษณ์ในผัง</t>
  </si>
  <si>
    <t xml:space="preserve">- เพิ่มย่อหน้าอธิบายสัญลักษณ์ BPMN User Flow: วงกลม "เริ่ม", กล่องขั้นตอน RES, จุดตัดสินใจ DEC-, Link ข้ามภาพ, วงกลม "สิ้นสุด" และความหมายของ [รอยืนยัน Qn]</t>
  </si>
  <si>
    <t xml:space="preserve">swimlane-flow-template; ผลการตรวจ User Flow กิจกรรมที่ 7 (16 ต.ค. 2569) ข้อ 3</t>
  </si>
  <si>
    <t xml:space="preserve">7</t>
  </si>
  <si>
    <t xml:space="preserve">-</t>
  </si>
  <si>
    <t xml:space="preserve">หน้า 6–9 (V1.1) / 2.1.1.1 ผังขั้นตอนระบบการจัดทำทะเบียนคุมรายงานไต่สวนเบื้องต้น</t>
  </si>
  <si>
    <t xml:space="preserve">- รูปภาพที่ 1–5 มี Lane "ระบบ E-CMIS" ปนงานของคน (เช่น RES005, RES006)
- รหัสจุดตัดสินใจ D001–D004 ซ้ำรูปแบบกับ Data Store
- วงกลมเชื่อมภาพ "ไป/จาก" ชื่อไม่ตรงกัน</t>
  </si>
  <si>
    <t xml:space="preserve">- แทนด้วยภาพ User Flow V1.0.3 ส่วน 1-1 ถึง 1-4 (4 ภาพ)
- ไม่มี Lane ระบบ ย้ายขั้นตอนไป Lane ผู้ปฏิบัติจริง
- รหัส DEC- และ Link Event จับคู่ตัวอักษร</t>
  </si>
  <si>
    <t xml:space="preserve">ผลการตรวจ User Flow กิจกรรมที่ 7 (16 ต.ค. 2569) ข้อ 1–3, Key Highlight 1–3; swimlane-flow-template (ห้าม Lane ระบบ, Link Event)</t>
  </si>
  <si>
    <t xml:space="preserve">7–9</t>
  </si>
  <si>
    <t xml:space="preserve">Q1, Q2, Q6</t>
  </si>
  <si>
    <t xml:space="preserve">หน้า 10–13 (V1.1) / 2.1.1.2 ผังขั้นตอนระบบการจัดทำทะเบียนคุมรายงานไต่สวนวินิจฉัยชี้มูล</t>
  </si>
  <si>
    <t xml:space="preserve">- รูปภาพที่ 6–11
- RES107 ในภาพใช้ชื่อ "…ไต่สวนเบื้องต้น" (คัดลอกจาก RES007)
- RES115 ในภาพชื่อซ้ำกับ RES114</t>
  </si>
  <si>
    <t xml:space="preserve">- แทนด้วยภาพ 2-1 ถึง 2-4 (4 ภาพ)
- RES107 "ให้ความเห็นและลงนามในรายงานการไต่สวนเพื่อวินิจฉัยชี้มูล" ตามตาราง 2.2.1.2
- RES115 ใช้ชื่อตามตาราง 2.2.1.2</t>
  </si>
  <si>
    <t xml:space="preserve">ผลการตรวจ User Flow กิจกรรมที่ 7 (16 ต.ค. 2569) ข้อ 1–3; ตาราง 2.2.1.2 แถว 107, 115</t>
  </si>
  <si>
    <t xml:space="preserve">10–12</t>
  </si>
  <si>
    <t xml:space="preserve">Q1, Q2, Q3, Q12</t>
  </si>
  <si>
    <t xml:space="preserve">หน้า 14–15 (V1.1) / 2.1.1.3 ผังขั้นตอนระบบจัดเก็บข้อมูลสำนวนคดีอิเล็กทรอนิกส์</t>
  </si>
  <si>
    <t xml:space="preserve">- รูปภาพที่ 12–14 (มติเรื่องทั่วไป RES201–RES211)</t>
  </si>
  <si>
    <t xml:space="preserve">- แทนด้วยภาพ 3-1, 3-2 (2 ภาพ)</t>
  </si>
  <si>
    <t xml:space="preserve">ผลการตรวจ User Flow กิจกรรมที่ 7 (16 ต.ค. 2569) ข้อ 1–3</t>
  </si>
  <si>
    <t xml:space="preserve">13</t>
  </si>
  <si>
    <t xml:space="preserve">Q1, Q2, Q9</t>
  </si>
  <si>
    <t xml:space="preserve">หน้า 14 (V1.1) / ชื่อหัวข้อและคำบรรยายภาพ 2.1.1.3</t>
  </si>
  <si>
    <t xml:space="preserve">- ชื่อ "ผังขั้นตอนระบบจัดเก็บข้อมูลสำนวนคดีอิเล็กทรอนิกส์" แต่ภาพเป็นขั้นตอนมติเรื่องทั่วไป</t>
  </si>
  <si>
    <t xml:space="preserve">- เสนอเปลี่ยนเป็น "ผังขั้นตอนระบบการจัดทำมติเรื่องทั่วไป" (ยังไม่แก้)</t>
  </si>
  <si>
    <t xml:space="preserve">ตาราง 2.2.1.3 ใช้ชื่อ "การจัดทำมติเรื่องทั่วไป"</t>
  </si>
  <si>
    <t xml:space="preserve">Q10</t>
  </si>
  <si>
    <t xml:space="preserve">หน้า 16–17 (V1.1) / 2.1.2.1 ผังสนับสนุนการพิจารณาฯ ส่วนรายงานไต่สวนเบื้องต้น</t>
  </si>
  <si>
    <t xml:space="preserve">- รูปภาพที่ 15–17
- เส้น D006 "ใช่" กับ D007 "ไม่" ซ้อนทับกันเข้า RES028
- RES030 แตกกิ่งโดยไม่มีจุดตัดสินใจ</t>
  </si>
  <si>
    <t xml:space="preserve">- แทนด้วยภาพ 1-5 (1 ภาพ)
- แยกเส้น DEC-006 / DEC-007
- เรียง RES030 → RES031 → RES032 ต่อเนื่อง</t>
  </si>
  <si>
    <t xml:space="preserve">ผลการตรวจ User Flow กิจกรรมที่ 7 (16 ต.ค. 2569) ข้อ 4.1–4.2</t>
  </si>
  <si>
    <t xml:space="preserve">14</t>
  </si>
  <si>
    <t xml:space="preserve">Q2</t>
  </si>
  <si>
    <t xml:space="preserve">หน้า 18–20 (V1.1) / 2.1.2.2 ผังสนับสนุนการพิจารณาฯ ส่วนรายงานไต่สวนวินิจฉัยชี้มูล</t>
  </si>
  <si>
    <t xml:space="preserve">- รูปภาพที่ 18–20
- D106 "สายอาญา?" ใช่ → สิ้นสุดทันที</t>
  </si>
  <si>
    <t xml:space="preserve">- แทนด้วยภาพ 2-5, 2-6 (2 ภาพ)
- คงเส้นทางเดิม และทำเครื่องหมาย [รอยืนยัน Q5] เพราะไม่มีข้อมูลขั้นตอนก่อนจบ</t>
  </si>
  <si>
    <t xml:space="preserve">ผลการตรวจ User Flow กิจกรรมที่ 7 (16 ต.ค. 2569) ข้อ 4.3</t>
  </si>
  <si>
    <t xml:space="preserve">14–15</t>
  </si>
  <si>
    <t xml:space="preserve">Q2, Q5</t>
  </si>
  <si>
    <t xml:space="preserve">หน้า 21 (V1.1) / 2.1.2.3 ผังสนับสนุนการพิจารณาฯ ส่วนมติเรื่องทั่วไป</t>
  </si>
  <si>
    <t xml:space="preserve">- รูปภาพที่ 21–22
- RES215 ชี้ "ไป D206" ซึ่งไม่มีอยู่จริง</t>
  </si>
  <si>
    <t xml:space="preserve">- แทนด้วยภาพ 3-3 (1 ภาพ)
- RES215 เชื่อมไป DEC-203 ตามภาพเดิม</t>
  </si>
  <si>
    <t xml:space="preserve">ผลการตรวจ User Flow กิจกรรมที่ 7 (16 ต.ค. 2569) ข้อ 1</t>
  </si>
  <si>
    <t xml:space="preserve">16</t>
  </si>
  <si>
    <t xml:space="preserve">Q2, Q4</t>
  </si>
  <si>
    <t xml:space="preserve">หน้า 22 (V1.1) / 2.1.3 ค้นหาและกรองข้อมูล, 2.1.4 แสดงผลข้อมูล</t>
  </si>
  <si>
    <t xml:space="preserve">- รูปภาพที่ 23–24 ใช้ Lane "ระบบ E-CMIS" (RES053–055)</t>
  </si>
  <si>
    <t xml:space="preserve">- ควรปรับเป็น Lane ผู้ใช้ตาม template (ยังไม่แก้)</t>
  </si>
  <si>
    <t xml:space="preserve">swimlane-flow-template</t>
  </si>
  <si>
    <t xml:space="preserve">Q11: ไม่มีไฟล์ .drawio ต้นฉบับ และไม่ทราบกลุ่มผู้ใช้</t>
  </si>
  <si>
    <t xml:space="preserve">หน้า 23–24 (V1.1) / 2.2.1.1 ตารางรายละเอียดขั้นตอน (ไต่สวนเบื้องต้น)</t>
  </si>
  <si>
    <t xml:space="preserve">- รหัส D001–D004 ผู้รับผิดชอบ "ระบบ E-CMIS" / "การตัดสินใจ"
- ขั้นตอน "แสดงรายการ…"</t>
  </si>
  <si>
    <t xml:space="preserve">- เปลี่ยนเป็น DEC-001–DEC-004 ระบุผู้ตัดสินใจ
- ย้ายขั้นตอน "แสดงรายการ/ส่ง…" ไปผู้ปฏิบัติ และเขียนเป็น "ตรวจสอบรายการ…"
- แก้คำผิดแถว 018</t>
  </si>
  <si>
    <t xml:space="preserve">ผลการตรวจ User Flow กิจกรรมที่ 7 (16 ต.ค. 2569) ข้อ 2, 3 และ Key Highlight 2</t>
  </si>
  <si>
    <t xml:space="preserve">18–19</t>
  </si>
  <si>
    <t xml:space="preserve">แถว 010, 012, 017, 021 (Q2); DEC-001 (Q1); SLA 30 วัน (Q13)</t>
  </si>
  <si>
    <t xml:space="preserve">หน้า 25–26 (V1.1) / 2.2.1.2 ตารางรายละเอียดขั้นตอน (ไต่สวนวินิจฉัยชี้มูล)</t>
  </si>
  <si>
    <t xml:space="preserve">- รหัส D101–D104 และ "ใช่ -&gt; RES105"</t>
  </si>
  <si>
    <t xml:space="preserve">- เปลี่ยนเป็น DEC- ระบุผู้ตัดสินใจ ย้ายงานไปผู้ปฏิบัติ</t>
  </si>
  <si>
    <t xml:space="preserve">ผลการตรวจ User Flow กิจกรรมที่ 7 (16 ต.ค. 2569) ข้อ 2, 3</t>
  </si>
  <si>
    <t xml:space="preserve">20–21</t>
  </si>
  <si>
    <t xml:space="preserve">ทิศทาง DEC-104 (Q3); แถว 110, 112, 116, 119, 123 (Q2); DEC-101 (Q1)</t>
  </si>
  <si>
    <t xml:space="preserve">หน้า 27 (V1.1) / 2.2.1.3 ตารางรายละเอียดขั้นตอน (มติเรื่องทั่วไป)</t>
  </si>
  <si>
    <t xml:space="preserve">- รหัส D201–D202, "แสดงรายการมติเรื่องเร่งด่วน"</t>
  </si>
  <si>
    <t xml:space="preserve">- เปลี่ยนเป็น DEC- ระบุผู้ตัดสินใจ ผู้ปฏิบัติ และชื่อ RES202</t>
  </si>
  <si>
    <t xml:space="preserve">22</t>
  </si>
  <si>
    <t xml:space="preserve">แถว 210 (Q2); DEC-201 (Q1); RES204 (Q9)</t>
  </si>
  <si>
    <t xml:space="preserve">หน้า 28 (V1.1) / 2.2.2.1 ตารางรายละเอียดขั้นตอน (สนับสนุนการพิจารณาฯ ไต่สวนเบื้องต้น)</t>
  </si>
  <si>
    <t xml:space="preserve">- รหัส D005–D007 ผู้รับผิดชอบ "คณะกรรมการ"</t>
  </si>
  <si>
    <t xml:space="preserve">- DEC- ผู้ตัดสินใจเป็นกลุ่มงานคำวินิจฉัยและมติคณะกรรมการ ย้าย RES023/027/028 ไปผู้ปฏิบัติ ใช้ชื่อ "คณะกรรมการ ป.ป.ท."</t>
  </si>
  <si>
    <t xml:space="preserve">23–24</t>
  </si>
  <si>
    <t xml:space="preserve">แถว 024, 029, 031 (Q2)</t>
  </si>
  <si>
    <t xml:space="preserve">หน้า 29 (V1.1) / 2.2.2.2 ตารางรายละเอียดขั้นตอน (สนับสนุนการพิจารณาฯ ไต่สวนชี้มูล)</t>
  </si>
  <si>
    <t xml:space="preserve">- รหัส D105–D106</t>
  </si>
  <si>
    <t xml:space="preserve">- DEC- ระบุผู้ตัดสินใจ ย้าย RES125 ไปผู้ปฏิบัติ ใช้ชื่อ "คณะกรรมการ ป.ป.ท."</t>
  </si>
  <si>
    <t xml:space="preserve">25</t>
  </si>
  <si>
    <t xml:space="preserve">แถว 126, 130, 133 (Q2); DEC-106 (Q5)</t>
  </si>
  <si>
    <t xml:space="preserve">หน้า 30 (V1.1) / 2.2.2.3 ตารางรายละเอียดขั้นตอน (สนับสนุนการพิจารณาฯ มติเรื่องทั่วไป)</t>
  </si>
  <si>
    <t xml:space="preserve">- แถว 215 "-&gt; 206"; รหัส D203</t>
  </si>
  <si>
    <t xml:space="preserve">- แถว 215 "-&gt; DEC-203"; รหัส DEC-203; ย้าย RES212 ไปผู้ปฏิบัติ</t>
  </si>
  <si>
    <t xml:space="preserve">ผลการตรวจ User Flow กิจกรรมที่ 7 (16 ต.ค. 2569) ข้อ 1, 3</t>
  </si>
  <si>
    <t xml:space="preserve">26</t>
  </si>
  <si>
    <t xml:space="preserve">ทิศทาง DEC-203 (Q4); แถว 213 (Q2)</t>
  </si>
  <si>
    <t xml:space="preserve">หน้า 31 (V1.1) / 2.2.3, 2.2.4 ตารางรายละเอียดขั้นตอน (ค้นหา / แสดงผล)</t>
  </si>
  <si>
    <t xml:space="preserve">- ผู้รับผิดชอบ "ระบบ E-CMIS"</t>
  </si>
  <si>
    <t xml:space="preserve">- ควรระบุกลุ่มผู้ใช้ (ยังไม่แก้)</t>
  </si>
  <si>
    <t xml:space="preserve">27</t>
  </si>
  <si>
    <t xml:space="preserve">Q11</t>
  </si>
  <si>
    <t xml:space="preserve">ทั้งเล่ม / เลขรูปภาพและสารบัญรูปภาพ (จากการปรับ User Flow)</t>
  </si>
  <si>
    <t xml:space="preserve">- บทที่ 2 มี 24 ภาพ</t>
  </si>
  <si>
    <t xml:space="preserve">- ภาพผัง 2.1.1–2.1.2 ลดจาก 22 เป็น 14 ภาพ เลขรูปถัดไปลดลง 8 (ปรับฟิลด์ SEQ และตั้งให้ Word อัปเดตฟิลด์)</t>
  </si>
  <si>
    <t xml:space="preserve">ผลจากการแทนภาพ</t>
  </si>
  <si>
    <t xml:space="preserve">ทั้งเล่ม</t>
  </si>
  <si>
    <t xml:space="preserve">กด "ใช่" เมื่อ Word ถามให้อัปเดตฟิลด์</t>
  </si>
  <si>
    <t xml:space="preserve">หน้า 32 (V1.1) / บทที่ 3 Data Store D1, D2</t>
  </si>
  <si>
    <t xml:space="preserve">- DFD ใช้รหัส Data Store D1, D2 …</t>
  </si>
  <si>
    <t xml:space="preserve">- ไม่ต้องแก้ DFD: การเปลี่ยน D → DEC- ทำที่ User Flow แล้ว</t>
  </si>
  <si>
    <t xml:space="preserve">ผลการตรวจ User Flow กิจกรรมที่ 7 (16 ต.ค. 2569) ข้อ 3</t>
  </si>
  <si>
    <t xml:space="preserve">28–79</t>
  </si>
  <si>
    <t xml:space="preserve">หน้า 32 (V1.1) / บทที่ 3 Entity เทียบกับ Lane ใหม่ของ User Flow</t>
  </si>
  <si>
    <t xml:space="preserve">- User Flow V1.0.3 เพิ่ม Lane "ผู้รับผิดชอบสำนวนคดี (กจ.5)" / "ผู้เสนอเรื่อง" และขั้นตอนกรณีสายอาญา (Q5)</t>
  </si>
  <si>
    <t xml:space="preserve">- ยังไม่เปลี่ยน DFD เพราะยังไม่มีหลักฐานยืนยัน (DFD ใช้ E8 หน่วยงานต้นเรื่อง/เจ้าของเรื่อง)</t>
  </si>
  <si>
    <t xml:space="preserve">คำสั่งงาน: ห้ามสรุปว่า DFD ต้องเปลี่ยนตาม UF โดยไม่มีหลักฐาน</t>
  </si>
  <si>
    <t xml:space="preserve">Q1, Q5 (เชื่อมกับ DQ5, DQ8 ของ DFD)</t>
  </si>
  <si>
    <t xml:space="preserve">หน้า 76 เป็นต้นไป (V1.1) / บทที่ 4 Wireframe (กลุ่มผู้ใช้)</t>
  </si>
  <si>
    <t xml:space="preserve">- ไม่มีกลุ่มผู้ใช้ "ผู้รับผิดชอบสำนวนคดี (กจ.5)"; ไม่อ้างอิงรหัส D/DEC/RES ของ User Flow (ค้นข้อความบทที่ 4–5)</t>
  </si>
  <si>
    <t xml:space="preserve">- ทบทวนหลังได้คำตอบ Q1, Q2 ว่าต้องเพิ่มหน้าจอหรือกลุ่มผู้ใช้หรือไม่</t>
  </si>
  <si>
    <t xml:space="preserve">Lane ใหม่ใน User Flow V1.0.3</t>
  </si>
  <si>
    <t xml:space="preserve">80 เป็นต้นไป</t>
  </si>
  <si>
    <t xml:space="preserve">Q1, Q2</t>
  </si>
  <si>
    <t xml:space="preserve">หน้า 28–29 (V1.2) / 3.1 Context Diagram (Level 0)
รูปภาพที่ 17–18</t>
  </si>
  <si>
    <t xml:space="preserve">- 2 ภาพ (Context Diagram (Level 0)-1, -2) ไม่มีหน้าภาพรวม
- Process 0 ไม่ใช่กล่อง swimlane หัวเลข 0
- ป้ายเส้นเป็นคำกริยา เช่น "ลงนามบรรจุวาระการประชุมฯ", "จัดทำรายงานวินิจฉัยชี้มูล เสนอคณะกรรมการ"
- สะกดผิด "กองกราบฯ"
- เส้นทั้ง 36 เส้นไม่ผูกกับกล่อง (ไม่มีต้นทาง/ปลายทางในไฟล์)</t>
  </si>
  <si>
    <t xml:space="preserve">- แทนด้วย Context Diagram V1.0.3 หน้าแยก 6 ภาพ (หน้า 1/6–6/6) ภาพรวมเก็บไว้ในไฟล์ .drawio
- ป้ายข้อมูลเป็นคำนาม รวมจาก L1 ทุกเส้น (Balancing)
- ปรับคำบรรยายภาพตามหน้า</t>
  </si>
  <si>
    <t xml:space="preserve">กติกา DFD (Level 0–2) ข้อ 1–8; บันทึกแก้ไข 1791976367965 ลำดับ 1 (24/10/2569: "แก้ไขรูปภาพ Data Flow Diagram ตาม Format ทีม")</t>
  </si>
  <si>
    <t xml:space="preserve">28–30</t>
  </si>
  <si>
    <t xml:space="preserve">DQ1, DQ2, DQ4, DQ7, DQ10, DQ11</t>
  </si>
  <si>
    <t xml:space="preserve">หน้า 29 (V1.2) / 3.1.1 ผู้เกี่ยวข้องภายนอก (ตาราง)</t>
  </si>
  <si>
    <t xml:space="preserve">- E7 "ผู้อำนวยการกองบริหารคดี" ไม่มีชื่อย่อ ขณะที่ผัง DFD เดิมใช้ "ผู้อำนวยการกองบริหารคดี (ผอ.กบค.)"</t>
  </si>
  <si>
    <t xml:space="preserve">- ปรับชื่อ E7 ให้ตรงกับผังทุก Level
- คำอธิบาย Entity คงเดิม</t>
  </si>
  <si>
    <t xml:space="preserve">กติกา DFD (Level 0–2) ข้อ 2 (ชื่อ Entity เขียนเหมือนกันทุกจุด); ผัง DFD V1.0.2</t>
  </si>
  <si>
    <t xml:space="preserve">30</t>
  </si>
  <si>
    <t xml:space="preserve">หน้า 30–32 (V1.2) / 3.1.2 กระแสข้อมูลระดับ Context (ตาราง 20 แถว)</t>
  </si>
  <si>
    <t xml:space="preserve">- ข้อมูลไม่ตรงกับภาพ L0 เดิม และหลายแถวเป็นคำกริยา</t>
  </si>
  <si>
    <t xml:space="preserve">- สร้างตารางใหม่จาก L0 V1.0.3 (20 แถว: 10 Entity × ขาเข้า/ขาออก) รายการข้อมูลแยกบรรทัด</t>
  </si>
  <si>
    <t xml:space="preserve">กติกา DFD (Level 0–2) ข้อ 1–2; การรวมกระแสข้อมูลจาก L1</t>
  </si>
  <si>
    <t xml:space="preserve">31–34</t>
  </si>
  <si>
    <t xml:space="preserve">DQ10 และรายการที่ติด [รอยืนยัน DQn]</t>
  </si>
  <si>
    <t xml:space="preserve">หน้า 33 (V1.2) / 3.2 Data Flow Diagram (Level 1) ย่อหน้าคำอธิบาย</t>
  </si>
  <si>
    <t xml:space="preserve">- อธิบายการจัดวาง Entity ซ้าย Process กลาง Data Store ขวา</t>
  </si>
  <si>
    <t xml:space="preserve">- คงข้อความเดิม เพิ่มประโยคอธิบายว่าภาพในเล่มเป็นหน้าแยกราย Entity และภาพรวมอยู่ในไฟล์ .drawio</t>
  </si>
  <si>
    <t xml:space="preserve">กติกา DFD (Level 0–2) ข้อ 7</t>
  </si>
  <si>
    <t xml:space="preserve">35</t>
  </si>
  <si>
    <t xml:space="preserve">หน้า 33–38 (V1.2) / 3.2 Data Flow Diagram (Level 1)
รูปภาพที่ 19–24</t>
  </si>
  <si>
    <t xml:space="preserve">- 6 ภาพจากผังเดียว ไม่มีหน้าแยกราย Entity
- Data Store เป็นกล่องสี่เหลี่ยมพร้อมชื่อตาราง และเชื่อมกันเอง (D1→D2→D3→D4, D5→…→D10, D11→…→D14)
- ป้ายเส้นเป็นคำกริยา เช่น "มอบหมาย,สั่งการ,ลงความเห็น,ลงนาม", "อ่านเอกสารแนบ"
- 46 จาก 70 เส้นไม่ผูกกับกล่อง</t>
  </si>
  <si>
    <t xml:space="preserve">- แทนด้วย Level 1 V1.0.3 หน้าแยก 10 ภาพ (1 หน้า ต่อ 1 Entity) ภาพรวมเก็บไว้ในไฟล์ .drawio
- Data Store ใช้รูปทรง dataStoreID แสดงเฉพาะที่มี Process อ่าน/บันทึก
- เพิ่มเส้น Process→Process (1.0→2.0→…→6.0)</t>
  </si>
  <si>
    <t xml:space="preserve">35–42</t>
  </si>
  <si>
    <t xml:space="preserve">DQ1–DQ4, DQ7, DQ9, DQ11, DQ13</t>
  </si>
  <si>
    <t xml:space="preserve">หน้า 39–42 (V1.2) / 3.2.1 กระบวนการ (Process) (ตาราง)</t>
  </si>
  <si>
    <t xml:space="preserve">- ชื่อ Process สะกด "ฟังก์ชั่น"
- ข้อมูลเข้า/ออกเป็นคำกริยา (เช่น "E2 ทำการกลั่นกรอง…", "D4 อ่านเอกสารแนบ")</t>
  </si>
  <si>
    <t xml:space="preserve">- สะกด "ฟังก์ชัน" ตามพจนานุกรม
- ข้อมูลเข้า/ออกสร้างใหม่จาก L1 V1.0.3 (ระบุต้นทาง/ปลายทางและชื่อข้อมูลแบบคำนาม)</t>
  </si>
  <si>
    <t xml:space="preserve">กติกา DFD (Level 0–2) ข้อ 2; ผัง L1 V1.0.3</t>
  </si>
  <si>
    <t xml:space="preserve">43–46</t>
  </si>
  <si>
    <t xml:space="preserve">DQ2, DQ3, DQ9</t>
  </si>
  <si>
    <t xml:space="preserve">หน้า 43 (V1.2) / 3.2.2 แหล่งจัดเก็บข้อมูล (ตาราง D1–D16)</t>
  </si>
  <si>
    <t xml:space="preserve">- 16 Data Store พร้อมชื่อตาราง</t>
  </si>
  <si>
    <t xml:space="preserve">- ยังไม่แก้: ผังใหม่แสดง 6 รายการ (D1, D4, D5, D11, D15, D16) ส่วนที่เหลือต้องรอทราบ Process ที่อ่าน/บันทึก</t>
  </si>
  <si>
    <t xml:space="preserve">ผัง L1 เดิมเชื่อม DS↔DS ซึ่งขัดกติกา DFD ข้อ 1</t>
  </si>
  <si>
    <t xml:space="preserve">47</t>
  </si>
  <si>
    <t xml:space="preserve">DQ3</t>
  </si>
  <si>
    <t xml:space="preserve">หน้า 44–54 (V1.2) / 3.2.3 กระแสข้อมูลระดับ Level 1 (ตาราง 85 แถว)</t>
  </si>
  <si>
    <t xml:space="preserve">- รวมแถว Data Store↔Data Store และป้ายคำกริยา
- ชื่อ Data Store ใช้ชื่อตาราง</t>
  </si>
  <si>
    <t xml:space="preserve">- สร้างตารางใหม่จาก L1 V1.0.3 (กระแสข้อมูลกับ Entity, Process↔Process, Process↔Data Store)
- คงแถว Data Store↔Data Store เดิมไว้ท้ายตาราง พร้อมเครื่องหมาย [รอยืนยัน DQ3]</t>
  </si>
  <si>
    <t xml:space="preserve">กติกา DFD (Level 0–2) ข้อ 1–2, 4</t>
  </si>
  <si>
    <t xml:space="preserve">48–57</t>
  </si>
  <si>
    <t xml:space="preserve">DQ3 และรายการที่ติด [รอยืนยัน DQn]</t>
  </si>
  <si>
    <t xml:space="preserve">หน้า 55–59 (V1.2) / 3.3 Data Flow Diagram (Level 2)
รูปภาพที่ 25–30</t>
  </si>
  <si>
    <t xml:space="preserve">- 6 ภาพจากผังเดียว เส้นตัดผ่านกล่องและตัดกัน
- ชื่อ Process ย่อยขึ้นต้นด้วย "ระบบ…" ไม่ใช่กริยา+กรรม
- ป้ายเส้นเป็นคำกริยา ("ลงนาม", "มอบหมาย", "รับมอบหมาย")
- ไม่สมดุลกับ L1 หลายเส้น</t>
  </si>
  <si>
    <t xml:space="preserve">- แทนด้วย Level 2 V1.0.3 จำนวน 8 ภาพ (Process 1.0 แยก 3 หน้า, Process อื่นละ 1 หน้า) ภาพรวม Process 1.0 เก็บไว้ในไฟล์ .drawio
- กล่อง Process เส้นประใช้อ้างอิงข้อมูลข้ามหน้า พร้อมหมายเหตุท้ายหน้า</t>
  </si>
  <si>
    <t xml:space="preserve">58–64</t>
  </si>
  <si>
    <t xml:space="preserve">DQ3, DQ4, DQ7, DQ12</t>
  </si>
  <si>
    <t xml:space="preserve">หน้า 60–62 (V1.2) / 3.3.1.1–3.3.1.6 กระบวนการย่อย (ตาราง)</t>
  </si>
  <si>
    <t xml:space="preserve">- ชื่อ Process ย่อยขึ้นต้น "ระบบ…" หรือเป็นคำนาม
- สะกดผิด "ผู้รับผิดขอบ", "พิจราณา"</t>
  </si>
  <si>
    <t xml:space="preserve">- ปรับชื่อ Process ย่อยเป็นกริยา+กรรม ให้ตรงกับผัง
- แก้คำสะกดผิด
- คอลัมน์หน้าที่โดยสรุปและข้อมูลเข้า → ข้อมูลออก คงเดิม</t>
  </si>
  <si>
    <t xml:space="preserve">กติกา DFD (Level 0–2) ข้อ 2</t>
  </si>
  <si>
    <t xml:space="preserve">64–67</t>
  </si>
  <si>
    <t xml:space="preserve">DQ9, DQ12 (โครงสร้าง 2.0/3.0 ยังไม่แก้)</t>
  </si>
  <si>
    <t xml:space="preserve">หน้า 63 (V1.2) / 3.3.2 แหล่งจัดเก็บข้อมูล (ตาราง)</t>
  </si>
  <si>
    <t xml:space="preserve">- ยังไม่แก้ (เหตุผลเดียวกับ 3.2.2)</t>
  </si>
  <si>
    <t xml:space="preserve">ดู 3.2.2</t>
  </si>
  <si>
    <t xml:space="preserve">68</t>
  </si>
  <si>
    <t xml:space="preserve">หน้า 63–71 (V1.2) / 3.3.3 กระแสข้อมูล (ตาราง 73 แถว)</t>
  </si>
  <si>
    <t xml:space="preserve">- ป้ายคำกริยา ไม่สมดุลกับ L1 รวมแถว Data Store↔Data Store</t>
  </si>
  <si>
    <t xml:space="preserve">- สร้างตารางใหม่จาก L2 V1.0.3
- คงแถว Data Store↔Data Store เดิมไว้ท้ายตาราง พร้อม [รอยืนยัน DQ3]</t>
  </si>
  <si>
    <t xml:space="preserve">68–79</t>
  </si>
  <si>
    <t xml:space="preserve">DQ3, DQ4, DQ7</t>
  </si>
  <si>
    <t xml:space="preserve">ทั้งเล่ม / เลขรูปภาพและสารบัญรูปภาพ</t>
  </si>
  <si>
    <t xml:space="preserve">- บทที่ 3 มี 14 ภาพ (รูปภาพที่ 17–30)</t>
  </si>
  <si>
    <t xml:space="preserve">- บทที่ 3 มี 24 ภาพ เลขรูปภาพตั้งแต่บทที่ 4 เลื่อน +10 (ฟิลด์ SEQ ปรับใหม่ และตั้งให้ Word อัปเดตฟิลด์เมื่อเปิด)</t>
  </si>
  <si>
    <t xml:space="preserve">เมื่อ Word ถามให้อัปเดตฟิลด์ ให้กด "ใช่" เพื่อปรับสารบัญ</t>
  </si>
  <si>
    <t xml:space="preserve">หน้า 2 (V1.2) / ตารางบันทึกการแก้ไข (ต้นเล่ม)</t>
  </si>
  <si>
    <t xml:space="preserve">- มีถึงเวอร์ชัน 1.2</t>
  </si>
  <si>
    <t xml:space="preserve">- เพิ่มแถวเวอร์ชัน 1.3 (ปรับ DFD บทที่ 3)</t>
  </si>
  <si>
    <t xml:space="preserve">ต้องระบุชื่อผู้ดำเนินการแทน "ร่างโดย AI – รอระบุผู้ดำเนินการ"</t>
  </si>
  <si>
    <t xml:space="preserve">บทที่ 2 / User Flow V1.0.3 กับ DFD</t>
  </si>
  <si>
    <t xml:space="preserve">- User Flow มีขั้นตอนส่งหนังสือกรณีสายอาญา (Q5) และข้อมูลเลขหนังสือส่ง/EMS (Mockup A7-17–19)</t>
  </si>
  <si>
    <t xml:space="preserve">- ยังไม่เพิ่มใน DFD เพราะไม่มีหลักฐานผู้รับและชื่อข้อมูลที่ยืนยันแล้ว</t>
  </si>
  <si>
    <t xml:space="preserve">DQ8</t>
  </si>
  <si>
    <t xml:space="preserve">บทที่ 2 / รหัสจุดตัดสินใจ DEC- กับ Data Store D1, D2</t>
  </si>
  <si>
    <t xml:space="preserve">- ผลการตรวจ UF ระบุว่ารหัส D001 ซ้ำรูปแบบกับ Data Store</t>
  </si>
  <si>
    <t xml:space="preserve">- ไม่ต้องแก้ DFD: User Flow เปลี่ยนเป็น DEC- แล้ว (V1.2) Data Store คงรหัส D&lt;n&gt;</t>
  </si>
  <si>
    <t xml:space="preserve">18–27</t>
  </si>
  <si>
    <t xml:space="preserve">บทที่ 4–5 / Wireframe และ Prototype</t>
  </si>
  <si>
    <t xml:space="preserve">- ไม่อ้างอิงรหัส Process (n.0) หรือ Data Store (D&lt;n&gt;) ของ DFD (หัวข้อ "Process :" ในบทที่ 5 เป็นขั้นตอนประมวลผลของข้อกำหนดระบบ ไม่ใช่ Process ของ DFD)</t>
  </si>
  <si>
    <t xml:space="preserve">- ไม่ต้องแก้</t>
  </si>
  <si>
    <t xml:space="preserve">ค้นข้อความหน้า 72–215 ของเล่ม V1.2</t>
  </si>
  <si>
    <t xml:space="preserve">ประเด็น</t>
  </si>
  <si>
    <t xml:space="preserve">รายละเอียด / คำถามที่ต้องถาม</t>
  </si>
  <si>
    <t xml:space="preserve">ผู้ที่ควรยืนยัน</t>
  </si>
  <si>
    <t xml:space="preserve">ผลกระทบ</t>
  </si>
  <si>
    <t xml:space="preserve">ตำแหน่งที่เกี่ยวข้องในเล่ม 4</t>
  </si>
  <si>
    <t xml:space="preserve">Q1</t>
  </si>
  <si>
    <t xml:space="preserve">ใครเป็นผู้ส่งเรื่องและเลือกแนบใบด่วน (DEC-001/101/201)</t>
  </si>
  <si>
    <t xml:space="preserve">เสนอให้ Start และ "แนบใบด่วนมาแล้ว?" อยู่ใน Lane ผู้รับผิดชอบสำนวนคดี (กจ.5) สำหรับไต่สวนเบื้องต้น/ชี้มูล และ "ผู้เสนอเรื่อง" สำหรับมติเรื่องทั่วไป</t>
  </si>
  <si>
    <t xml:space="preserve">BA + เจ้าของกระบวนงาน (กองบริหารคดี / ผู้ใช้ กจ.5)</t>
  </si>
  <si>
    <t xml:space="preserve">Lane ใหม่ 1 Lane ต่อหน้า; ตาราง 2.2 แถว DEC-001/101/201 ยังระบุ "การตัดสินใจ"</t>
  </si>
  <si>
    <t xml:space="preserve">2.1.1.1 ผังขั้นตอนระบบการจัดทำทะเบียนคุมรายงานไต่สวนเบื้องต้น; 2.1.1.2 ผังขั้นตอนระบบการจัดทำทะเบียนคุมรายงานไต่สวนวินิจฉัยชี้มูล; 2.1.1.3 ผังขั้นตอนระบบจัดเก็บข้อมูลสำนวนคดีอิเล็กทรอนิกส์; 2.2.1.1 ตารางรายละเอียดขั้นตอน (ไต่สวนเบื้องต้น); 2.2.1.2 ตารางรายละเอียดขั้นตอน (ไต่สวนวินิจฉัยชี้มูล); 2.2.1.3 ตารางรายละเอียดขั้นตอน (มติเรื่องทั่วไป); บทที่ 3 Entity เทียบกับ Lane ใหม่ของ User Flow; บทที่ 4 Wireframe (กลุ่มผู้ใช้)</t>
  </si>
  <si>
    <t xml:space="preserve">ขั้นตอนจัดทำเอกสาร 17 ขั้นตอน ใครเป็นผู้ปฏิบัติ หรือเป็นงานอัตโนมัติ</t>
  </si>
  <si>
    <t xml:space="preserve">RES010, 012, 017, 021, 024, 029, 031, 110, 112, 116, 119, 123, 126, 130, 133, 210, 213 — ร่างนี้วางไว้ใน Lane ผู้ใช้ที่ทำงานต่อด้วยเอกสารนั้น</t>
  </si>
  <si>
    <t xml:space="preserve">SA + เจ้าของกระบวนงานแต่ละกลุ่มงาน</t>
  </si>
  <si>
    <t xml:space="preserve">ถ้าเป็นงานอัตโนมัติ ต้องรวมเป็นส่วนหนึ่งของขั้นตอนผู้ใช้ก่อน/หลังแทน; ตาราง 2.2 แถวเหล่านี้ยังเป็น "ระบบ E-CMIS"</t>
  </si>
  <si>
    <t xml:space="preserve">2.1.1.1 ผังขั้นตอนระบบการจัดทำทะเบียนคุมรายงานไต่สวนเบื้องต้น; 2.1.1.2 ผังขั้นตอนระบบการจัดทำทะเบียนคุมรายงานไต่สวนวินิจฉัยชี้มูล; 2.1.1.3 ผังขั้นตอนระบบจัดเก็บข้อมูลสำนวนคดีอิเล็กทรอนิกส์; 2.1.2.1 ผังสนับสนุนการพิจารณาฯ ส่วนรายงานไต่สวนเบื้องต้น; 2.1.2.2 ผังสนับสนุนการพิจารณาฯ ส่วนรายงานไต่สวนวินิจฉัยชี้มูล; 2.1.2.3 ผังสนับสนุนการพิจารณาฯ ส่วนมติเรื่องทั่วไป; 2.2.1.1 ตารางรายละเอียดขั้นตอน (ไต่สวนเบื้องต้น); 2.2.1.2 ตารางรายละเอียดขั้นตอน (ไต่สวนวินิจฉัยชี้มูล); 2.2.1.3 ตารางรายละเอียดขั้นตอน (มติเรื่องทั่วไป); 2.2.2.1 ตารางรายละเอียดขั้นตอน (สนับสนุนการพิจารณาฯ ไต่สวนเบื้องต้น); 2.2.2.2 ตารางรายละเอียดขั้นตอน (สนับสนุนการพิจารณาฯ ไต่สวนชี้มูล); 2.2.2.3 ตารางรายละเอียดขั้นตอน (สนับสนุนการพิจารณาฯ มติเรื่องทั่วไป); บทที่ 4 Wireframe (กลุ่มผู้ใช้)</t>
  </si>
  <si>
    <t xml:space="preserve">Q3</t>
  </si>
  <si>
    <t xml:space="preserve">DEC-104 "ซับซ้อนยุ่งยาก?" ทางออกใช่/ไม่ สลับกันระหว่างภาพกับตาราง</t>
  </si>
  <si>
    <t xml:space="preserve">ภาพเดิม: ใช่ → RES115 (ส่งคณะอนุฯ กลั่นกรอง), ไม่ → RES118 (ลงนามมอบหมาย) | ตาราง 2.2.1.2: ใช่ → 118, ไม่ → 115</t>
  </si>
  <si>
    <t xml:space="preserve">เจ้าของกระบวนงาน กองบริหารคดี / ประธานฯ + BA</t>
  </si>
  <si>
    <t xml:space="preserve">เส้นทางหลักของสำนวนชี้มูลอาจผิด; ร่างนี้คงตามภาพเดิม</t>
  </si>
  <si>
    <t xml:space="preserve">2.1.1.2 ผังขั้นตอนระบบการจัดทำทะเบียนคุมรายงานไต่สวนวินิจฉัยชี้มูล; 2.2.1.2 ตารางรายละเอียดขั้นตอน (ไต่สวนวินิจฉัยชี้มูล)</t>
  </si>
  <si>
    <t xml:space="preserve">Q4</t>
  </si>
  <si>
    <t xml:space="preserve">DEC-203 "มติอื่นๆ?" ทางออกใช่/ไม่ สลับกันระหว่างภาพกับตาราง</t>
  </si>
  <si>
    <t xml:space="preserve">ภาพเดิม: ใช่ → RES216, ไม่ → RES218 | ตาราง 2.2.2.3: ใช่ → 218, ไม่ → 216 (ตารางสอดคล้องกับรูปแบบ DEC-006)</t>
  </si>
  <si>
    <t xml:space="preserve">กลุ่มงานคำวินิจฉัยและมติคณะกรรมการ + BA</t>
  </si>
  <si>
    <t xml:space="preserve">การออกคำสั่งแต่งตั้งผู้ไต่สวนในมติเรื่องทั่วไปอาจผิดเส้นทาง</t>
  </si>
  <si>
    <t xml:space="preserve">2.1.2.3 ผังสนับสนุนการพิจารณาฯ ส่วนมติเรื่องทั่วไป; 2.2.2.3 ตารางรายละเอียดขั้นตอน (สนับสนุนการพิจารณาฯ มติเรื่องทั่วไป)</t>
  </si>
  <si>
    <t xml:space="preserve">Q5</t>
  </si>
  <si>
    <t xml:space="preserve">DEC-106 สายอาญา "ใช่" จบทันที — ต้องมีขั้นตอนบันทึก/ส่งต่อก่อนจบหรือไม่</t>
  </si>
  <si>
    <t xml:space="preserve">ผู้ตรวจรับ (R2 ข้อ 4.3) ขอให้มี Action ก่อนจุดสิ้นสุด แต่ไม่มีข้อมูลว่าเป็นขั้นตอนใด</t>
  </si>
  <si>
    <t xml:space="preserve">กองบริหารคดี (กลุ่มงานกิจการคณะกรรมการ) + BA</t>
  </si>
  <si>
    <t xml:space="preserve">อาจต้องเพิ่มขั้นตอน + รหัส RES ใหม่ + หน้าจอ</t>
  </si>
  <si>
    <t xml:space="preserve">2.1.2.2 ผังสนับสนุนการพิจารณาฯ ส่วนรายงานไต่สวนวินิจฉัยชี้มูล; 2.2.2.2 ตารางรายละเอียดขั้นตอน (สนับสนุนการพิจารณาฯ ไต่สวนชี้มูล); บทที่ 3 Entity เทียบกับ Lane ใหม่ของ User Flow</t>
  </si>
  <si>
    <t xml:space="preserve">Q6</t>
  </si>
  <si>
    <t xml:space="preserve">แนวทาง Lane ระบบ / System Action / Status Flag</t>
  </si>
  <si>
    <t xml:space="preserve">R2 ข้อ 2, 5 และข้อสั่งการ 2, 4 ให้คง Lane ระบบเฉพาะงานอัตโนมัติและเพิ่มสถานะ แต่ R3 ห้ามมี Lane ระบบและห้ามแสดงขั้นตอนเบื้องหลัง (R4 ใช้แนวทางเดียวกับ R3) — ร่างนี้ยึด R3</t>
  </si>
  <si>
    <t xml:space="preserve">PM + คณะกรรมการตรวจรับ</t>
  </si>
  <si>
    <t xml:space="preserve">หากผู้ตรวจรับยืนยันให้แสดงสถานะ เสนอให้ทำเป็นตารางสถานะ/State แยก หรืออ้างอิงใน DFD บทที่ 3 แทนการใส่ใน User Flow</t>
  </si>
  <si>
    <t xml:space="preserve">2.1.1.1 ผังขั้นตอนระบบการจัดทำทะเบียนคุมรายงานไต่สวนเบื้องต้น</t>
  </si>
  <si>
    <t xml:space="preserve">Q7</t>
  </si>
  <si>
    <t xml:space="preserve">สีแถบ Lane "คณะกรรมการ ป.ป.ท."</t>
  </si>
  <si>
    <t xml:space="preserve">template ยังมี 2 ค่า (#EDE6F6 / #DDE8FA) — ใช้ #DDE8FA ชั่วคราว</t>
  </si>
  <si>
    <t xml:space="preserve">ผู้ดูแล template / PM</t>
  </si>
  <si>
    <t xml:space="preserve">เปลี่ยนสีได้ทันทีหลังยืนยัน</t>
  </si>
  <si>
    <t xml:space="preserve">ผัง User Flow V1.0.3</t>
  </si>
  <si>
    <t xml:space="preserve">Q8</t>
  </si>
  <si>
    <t xml:space="preserve">RES006/RES106 ส่งสำนวนกลับ กจ.5 แล้วสิ้นสุด</t>
  </si>
  <si>
    <t xml:space="preserve">หลังแนบใบด่วนแล้ว ควรวนกลับเข้า DEC-001/101 หรือถือเป็นกระบวนการใหม่</t>
  </si>
  <si>
    <t xml:space="preserve">BA + เจ้าของกระบวนงาน</t>
  </si>
  <si>
    <t xml:space="preserve">อาจต้องเพิ่มเส้นวนกลับ</t>
  </si>
  <si>
    <t xml:space="preserve">Q9</t>
  </si>
  <si>
    <t xml:space="preserve">RES204 "พิจารณาความซับซ้อนยุ่งยากของสำนวน" ในมติเรื่องทั่วไป ไม่มีจุดตัดสินใจตามมา</t>
  </si>
  <si>
    <t xml:space="preserve">ผังและตาราง 2.2.1.3 ไปต่อ RES206 ทันที</t>
  </si>
  <si>
    <t xml:space="preserve">อาจต้องเพิ่ม Gateway หรือปรับชื่อขั้นตอน</t>
  </si>
  <si>
    <t xml:space="preserve">2.1.1.3 ผังขั้นตอนระบบจัดเก็บข้อมูลสำนวนคดีอิเล็กทรอนิกส์; 2.2.1.3 ตารางรายละเอียดขั้นตอน (มติเรื่องทั่วไป)</t>
  </si>
  <si>
    <t xml:space="preserve">ชื่อหัวข้อ 2.1.1.3 ไม่ตรงกับเนื้อหา</t>
  </si>
  <si>
    <t xml:space="preserve">หัวข้อ "ผังขั้นตอนระบบจัดเก็บข้อมูลสำนวนคดีอิเล็กทรอนิกส์" แต่ภาพเป็นมติเรื่องทั่วไป (ตาราง 2.2.1.3 ใช้ชื่อ "การจัดทำมติเรื่องทั่วไป")</t>
  </si>
  <si>
    <t xml:space="preserve">BA / ผู้จัดทำเล่ม</t>
  </si>
  <si>
    <t xml:space="preserve">ยังไม่แก้ชื่อหัวข้อ/คำบรรยายภาพ</t>
  </si>
  <si>
    <t xml:space="preserve">ชื่อหัวข้อและคำบรรยายภาพ 2.1.1.3</t>
  </si>
  <si>
    <t xml:space="preserve">ผัง 2.1.3 ค้นหาและกรองข้อมูล / 2.1.4 แสดงผลข้อมูล (RES053–RES055)</t>
  </si>
  <si>
    <t xml:space="preserve">ยังใช้ Lane ระบบ E-CMIS; ไม่มีไฟล์ drawio ในชุด V1.0.2; อยู่นอกขอบเขตคอมเมนต์ (RES001–RES218); รหัส RES053–055 ไม่ต่อเนื่องกับชุดอื่น</t>
  </si>
  <si>
    <t xml:space="preserve">BA + SA (ระบุกลุ่มผู้ใช้และไฟล์ต้นฉบับ)</t>
  </si>
  <si>
    <t xml:space="preserve">ยังไม่แก้ภาพ 2.1.3, 2.1.4 และตาราง 2.2.3, 2.2.4</t>
  </si>
  <si>
    <t xml:space="preserve">2.1.3 ค้นหาและกรองข้อมูล, 2.1.4 แสดงผลข้อมูล; 2.2.3, 2.2.4 ตารางรายละเอียดขั้นตอน (ค้นหา</t>
  </si>
  <si>
    <t xml:space="preserve">Q12</t>
  </si>
  <si>
    <t xml:space="preserve">ชื่อขั้นตอน RES115</t>
  </si>
  <si>
    <t xml:space="preserve">ภาพเดิม "ลงรับและคัดกรองสำนวน" (ซ้ำ RES114) | ตาราง "ส่งเรื่องเข้าสู่คณะอนุกรรมการกลั่นกรองฯ เพื่อพิจารณาเสนอมติ" — ร่างใช้ตามตาราง</t>
  </si>
  <si>
    <t xml:space="preserve">BA</t>
  </si>
  <si>
    <t xml:space="preserve">ชื่อหน้าจอ/สิทธิ์ของ RES115</t>
  </si>
  <si>
    <t xml:space="preserve">2.1.1.2 ผังขั้นตอนระบบการจัดทำทะเบียนคุมรายงานไต่สวนวินิจฉัยชี้มูล</t>
  </si>
  <si>
    <t xml:space="preserve">Q13</t>
  </si>
  <si>
    <t xml:space="preserve">SLA ตาราง 2.2.1.1 = "ไม่เกิน 30 วัน" ขณะตารางอื่น = 15 วัน</t>
  </si>
  <si>
    <t xml:space="preserve">พบระหว่างตรวจ ไม่อยู่ในขอบเขตคอมเมนต์</t>
  </si>
  <si>
    <t xml:space="preserve">BA / PM</t>
  </si>
  <si>
    <t xml:space="preserve">แจ้งเพื่อทราบ ไม่ได้แก้</t>
  </si>
  <si>
    <t xml:space="preserve">2.2.1.1 ตารางรายละเอียดขั้นตอน (ไต่สวนเบื้องต้น)</t>
  </si>
  <si>
    <t xml:space="preserve">DQ1</t>
  </si>
  <si>
    <t xml:space="preserve">บันทึกกองปราบฯ เสนอประธานกรรมการ ป.ป.ท.</t>
  </si>
  <si>
    <t xml:space="preserve">ภาพ L0 เดิมมีกระแสข้อมูลบันทึกกองปราบฯ ระหว่าง E3 กับระบบ แต่ L1/L2 เดิมไม่ระบุ Process ที่รับผิดชอบ ฉบับใหม่วางไว้ที่ 2.0/2.1 (คัดแยกรายงาน) ถูกต้องหรือไม่ หรือควรอยู่ Process อื่น</t>
  </si>
  <si>
    <t xml:space="preserve">BA ร่วมกับกองบริหารคดี (เจ้าของกระบวนงาน)</t>
  </si>
  <si>
    <t xml:space="preserve">ตำแหน่งเส้น E3↔2.0 (L1) และ E3↔2.1 (L2) และชื่อข้อมูลใน L0</t>
  </si>
  <si>
    <t xml:space="preserve">L0 หน้า 2/6, L1 หน้า 3/10, L2 Process 2.0</t>
  </si>
  <si>
    <t xml:space="preserve">DQ2</t>
  </si>
  <si>
    <t xml:space="preserve">ข้อมูลที่ 6.0 ส่งให้ E6</t>
  </si>
  <si>
    <t xml:space="preserve">L1 เดิมระบุ 6.0 → E6 "จัดทำคำสั่งคณะกรรมการ" ซึ่งซ้ำกับ 5.0 และเป็นคำกริยา ฉบับใหม่คงไว้เป็น "คำสั่งคณะกรรมการ [รอยืนยัน DQ2]" ขอทราบว่า 6.0 ส่งข้อมูลใดให้กลุ่มงานกิจการคณะกรรมการจริง</t>
  </si>
  <si>
    <t xml:space="preserve">SA / BA</t>
  </si>
  <si>
    <t xml:space="preserve">ป้ายเส้น 6.0→E6, 6.1→E6 และรายการข้อมูล E6 ใน L0</t>
  </si>
  <si>
    <t xml:space="preserve">L0 หน้า 4/6, L1 หน้า 6/10, L2 Process 6.0</t>
  </si>
  <si>
    <t xml:space="preserve">Data Store ลูกที่ไม่แสดงในผัง</t>
  </si>
  <si>
    <t xml:space="preserve">ผังเดิมเชื่อม Data Store ต่อกันเอง (D1→D2→D3→D4, D5→…→D10, D11→…→D14) ซึ่งผิดกติกา DFD ฉบับใหม่แสดงเฉพาะ D1, D4, D5, D11, D15, D16 ที่มีหลักฐานการอ่าน/บันทึกโดย Process ขอให้ระบุว่า D2, D3, D6–D10, D12–D14 ถูกอ่าน/บันทึกโดย Process ใด</t>
  </si>
  <si>
    <t xml:space="preserve">SA (ผู้ออกแบบฐานข้อมูล)</t>
  </si>
  <si>
    <t xml:space="preserve">เส้น Process↔Data Store ใน L1/L2 และแถว Data Store↔Data Store ในตาราง 3.2.3 / 3.3.3 ที่ยังคงไว้</t>
  </si>
  <si>
    <t xml:space="preserve">L1, L2, ตาราง 3.2.2, 3.2.3, 3.3.2, 3.3.3</t>
  </si>
  <si>
    <t xml:space="preserve">DQ4</t>
  </si>
  <si>
    <t xml:space="preserve">กระแสข้อมูลเรื่องเร่งด่วนกับ E7 และไฟล์แนบที่ 1.1</t>
  </si>
  <si>
    <t xml:space="preserve">L0 เดิมมีข้อมูลเรื่องเร่งด่วนระหว่าง E7 กับระบบ แต่ L1/L2 ไม่มี ฉบับใหม่เพิ่ม "รายการเรื่องเร่งด่วน" และ "ความเห็นประกอบเรื่องเร่งด่วน" ที่ 1.0/1.1 และเส้น 1.1↔D4 เพื่อให้สมดุล ขอยืนยันชื่อข้อมูลและ Process ย่อยที่รับผิดชอบ</t>
  </si>
  <si>
    <t xml:space="preserve">BA / SA</t>
  </si>
  <si>
    <t xml:space="preserve">เส้น E7↔1.0, E7↔1.1, 1.1↔D4</t>
  </si>
  <si>
    <t xml:space="preserve">L0 หน้า 5/6, L1 หน้า 7/10, L2 Process 1.0 หน้า 1/3</t>
  </si>
  <si>
    <t xml:space="preserve">DQ5</t>
  </si>
  <si>
    <t xml:space="preserve">จุดเชื่อมต่อกับกิจกรรมอื่น</t>
  </si>
  <si>
    <t xml:space="preserve">Mockup อ้างถึงข้อมูลจากกิจกรรมที่ 4 (ช่องทาง A7-01), กิจกรรมที่ 6 (คุ้มครองพยาน A7-06) และการแจ้งผู้รับผิดชอบสำนวนของกิจกรรมที่ 5 (A7-13) ต้องแสดงระบบของกิจกรรมอื่นเป็น External Entity หรือไม่ และชื่อข้อมูลคืออะไร</t>
  </si>
  <si>
    <t xml:space="preserve">PM / SA (ระดับโครงการ)</t>
  </si>
  <si>
    <t xml:space="preserve">อาจต้องเพิ่ม Entity ใหม่ (E11 ขึ้นไป) ทุก Level และตาราง 3.1.1, 3.1.2</t>
  </si>
  <si>
    <t xml:space="preserve">L0, L1, L2 ทั้งหมด</t>
  </si>
  <si>
    <t xml:space="preserve">DQ6</t>
  </si>
  <si>
    <t xml:space="preserve">ผู้รับมติ/เอกสารคืน และการส่ง ป.ป.ช.</t>
  </si>
  <si>
    <t xml:space="preserve">คำอธิบายเดิมของ E4 กล่าวถึง "ส่งมติ/เอกสารคืน, ส่ง ป.ป.ช." แต่ไม่มี Entity ผู้รับ ต้องเพิ่ม Entity สำนักงาน ป.ป.ช. หรือหน่วยงานอื่นหรือไม่</t>
  </si>
  <si>
    <t xml:space="preserve">BA / ลูกค้า</t>
  </si>
  <si>
    <t xml:space="preserve">อาจเพิ่ม Entity และกระแสข้อมูลที่ 4.0/4.2</t>
  </si>
  <si>
    <t xml:space="preserve">L0, L1 Process 4.0, L2 Process 4.0</t>
  </si>
  <si>
    <t xml:space="preserve">DQ7</t>
  </si>
  <si>
    <t xml:space="preserve">รายงานการไต่สวนเพิ่มเติมตามมติ</t>
  </si>
  <si>
    <t xml:space="preserve">ฉบับใหม่วาง "รายงานการไต่สวนเพิ่มเติมตามมติคณะกรรมการ ป.ป.ท." เป็นข้อมูลจาก E6 เข้า 5.0/5.1 ตามตาราง Level 2 เดิม ขอยืนยันว่าถูก Process</t>
  </si>
  <si>
    <t xml:space="preserve">ตำแหน่งเส้น E6→5.0 / E6→5.1</t>
  </si>
  <si>
    <t xml:space="preserve">L1 หน้า 6/10, L2 Process 5.0</t>
  </si>
  <si>
    <t xml:space="preserve">ข้อมูลหนังสือส่งกรณีสายอาญา</t>
  </si>
  <si>
    <t xml:space="preserve">Mockup A7-17 ถึง A7-19 และ User Flow Q5 มีข้อมูลเลขหนังสือส่ง ลงวันที่ วันที่ส่ง และเลข EMS แต่ DFD เดิมไม่มี ต้องเพิ่มกระแสข้อมูล/ผู้รับหรือไม่</t>
  </si>
  <si>
    <t xml:space="preserve">BA / กลุ่มงานกิจการคณะกรรมการ</t>
  </si>
  <si>
    <t xml:space="preserve">อาจเพิ่มกระแสข้อมูลและ Entity ผู้รับที่ 5.0 หรือ 6.0</t>
  </si>
  <si>
    <t xml:space="preserve">L1, L2 (ยังไม่แก้)</t>
  </si>
  <si>
    <t xml:space="preserve">DQ9</t>
  </si>
  <si>
    <t xml:space="preserve">ชื่อ Process 3.0 กับ 3.1 ไม่สอดคล้องกัน</t>
  </si>
  <si>
    <t xml:space="preserve">3.0 ใช้คำว่า "มอบสำเนา…" แต่ 3.1 ใช้ "มอบหมาย…" ชื่อที่ถูกต้องคือคำใด</t>
  </si>
  <si>
    <t xml:space="preserve">ชื่อ Process 3.0/3.1 ทุก Level และตาราง 3.2.1, 3.3.1.3</t>
  </si>
  <si>
    <t xml:space="preserve">L1, L2 Process 3.0</t>
  </si>
  <si>
    <t xml:space="preserve">DQ10</t>
  </si>
  <si>
    <t xml:space="preserve">ใช้ L1 เป็นต้นแบบของ L0</t>
  </si>
  <si>
    <t xml:space="preserve">ภาพ L0 เดิมกับตาราง 3.1.2 เดิมไม่ตรงกัน ฉบับใหม่จึงรวมกระแสข้อมูลของ L1 ขึ้นเป็น L0 ทุกเส้น (Balancing) ขอยืนยันว่ารายการข้อมูลใน L0 ฉบับใหม่ครบถ้วน</t>
  </si>
  <si>
    <t xml:space="preserve">รายการข้อมูลบนเส้น L0 และตาราง 3.1.2</t>
  </si>
  <si>
    <t xml:space="preserve">L0 ทุกหน้า</t>
  </si>
  <si>
    <t xml:space="preserve">DQ11</t>
  </si>
  <si>
    <t xml:space="preserve">ฟอนต์ TH Sarabun New ตอนส่งออกรูป</t>
  </si>
  <si>
    <t xml:space="preserve">รูป PNG ชุดนี้ส่งออกด้วยเครื่องมืออัตโนมัติที่ใช้ฟอนต์ Sarabun ปรับขนาดแทน TH Sarabun New ตำแหน่งตัดบรรทัดอาจต่างจากที่เปิดใน draw.io บนเครื่องที่ติดตั้งฟอนต์จริง ควรเปิดไฟล์ .drawio ตรวจและ export ใหม่ก่อนส่งฉบับจริง</t>
  </si>
  <si>
    <t xml:space="preserve">ผู้จัดทำเล่ม / ทีมเอกสาร</t>
  </si>
  <si>
    <t xml:space="preserve">ความคมชัดและตำแหน่งตัดบรรทัดในรูป</t>
  </si>
  <si>
    <t xml:space="preserve">รูปทุก Level และรูปในเล่ม 4</t>
  </si>
  <si>
    <t xml:space="preserve">DQ12</t>
  </si>
  <si>
    <t xml:space="preserve">Process 2.0 และ 3.0 แตกย่อยได้เพียง 1 Process</t>
  </si>
  <si>
    <t xml:space="preserve">Level 2 เดิมแตก 2.0 เป็น 2.1 และ 3.0 เป็น 3.1 เพียงอย่างละ 1 Process ซึ่งไม่ได้แตกรายละเอียดเพิ่ม ต้องแยกย่อยเพิ่ม (เช่น ตามประเภทสำนวน) หรือคงไว้</t>
  </si>
  <si>
    <t xml:space="preserve">SA</t>
  </si>
  <si>
    <t xml:space="preserve">โครงสร้าง L2 ของ 2.0/3.0 และตาราง 3.3.1.2, 3.3.1.3</t>
  </si>
  <si>
    <t xml:space="preserve">L2 Process 2.0, 3.0</t>
  </si>
  <si>
    <t xml:space="preserve">DQ13</t>
  </si>
  <si>
    <t xml:space="preserve">รหัส Data Store 2 หลักกับรูปทรง dataStoreID</t>
  </si>
  <si>
    <t xml:space="preserve">ช่องรหัสของรูปทรง mxgraph.dfd.dataStoreID กว้างคงที่ 30 px ทำให้ D11, D15, D16 ขนาด 34 ไม่พอดีช่อง จึงใช้ขนาด 20 เฉพาะรหัส 2 หลัก (ชื่อ Data Store ยังเป็น 34) ยอมรับข้อยกเว้นนี้หรือไม่</t>
  </si>
  <si>
    <t xml:space="preserve">PM / ผู้กำหนดกติกา DFD</t>
  </si>
  <si>
    <t xml:space="preserve">ขนาดตัวอักษรรหัส D11, D15, D16</t>
  </si>
  <si>
    <t xml:space="preserve">L1, L2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</si>
</sst>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Arial"/>
      <family val="0"/>
      <charset val="1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EEF3F8"/>
      </patternFill>
    </fill>
    <fill>
      <patternFill patternType="solid">
        <fgColor rgb="FF1F4E79"/>
        <bgColor rgb="FF003366"/>
      </patternFill>
    </fill>
    <fill>
      <patternFill patternType="solid">
        <fgColor rgb="FFEEF3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FB4D6"/>
      </left>
      <right style="thin">
        <color rgb="FF9FB4D6"/>
      </right>
      <top style="thin">
        <color rgb="FF9FB4D6"/>
      </top>
      <bottom style="thin">
        <color rgb="FF9FB4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3F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B4D6"/>
      <rgbColor rgb="FF808080"/>
      <rgbColor rgb="FF9999FF"/>
      <rgbColor rgb="FF993366"/>
      <rgbColor rgb="FFEEF3F8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3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</row>
    <row r="6" customFormat="false" ht="45.75" hidden="false" customHeight="true" outlineLevel="0" collapsed="false">
      <c r="B6" s="4" t="s">
        <v>3</v>
      </c>
      <c r="C6" s="5" t="s">
        <v>4</v>
      </c>
      <c r="D6" s="5"/>
      <c r="E6" s="5"/>
      <c r="F6" s="5"/>
    </row>
    <row r="7" customFormat="false" ht="45.75" hidden="false" customHeight="true" outlineLevel="0" collapsed="false">
      <c r="B7" s="4" t="s">
        <v>5</v>
      </c>
      <c r="C7" s="5" t="s">
        <v>6</v>
      </c>
      <c r="D7" s="5"/>
      <c r="E7" s="5"/>
      <c r="F7" s="5"/>
    </row>
    <row r="8" customFormat="false" ht="21.75" hidden="false" customHeight="true" outlineLevel="0" collapsed="false">
      <c r="B8" s="4" t="s">
        <v>7</v>
      </c>
      <c r="C8" s="5" t="s">
        <v>8</v>
      </c>
      <c r="D8" s="5"/>
      <c r="E8" s="5"/>
      <c r="F8" s="5"/>
    </row>
    <row r="9" customFormat="false" ht="45.75" hidden="false" customHeight="true" outlineLevel="0" collapsed="false">
      <c r="B9" s="4" t="s">
        <v>9</v>
      </c>
      <c r="C9" s="5" t="s">
        <v>10</v>
      </c>
      <c r="D9" s="5"/>
      <c r="E9" s="5"/>
      <c r="F9" s="5"/>
    </row>
    <row r="10" customFormat="false" ht="45.75" hidden="false" customHeight="true" outlineLevel="0" collapsed="false">
      <c r="B10" s="4" t="s">
        <v>11</v>
      </c>
      <c r="C10" s="5" t="s">
        <v>12</v>
      </c>
      <c r="D10" s="5"/>
      <c r="E10" s="5"/>
      <c r="F10" s="5"/>
    </row>
    <row r="11" customFormat="false" ht="45.75" hidden="false" customHeight="true" outlineLevel="0" collapsed="false">
      <c r="B11" s="4" t="s">
        <v>13</v>
      </c>
      <c r="C11" s="5" t="s">
        <v>14</v>
      </c>
      <c r="D11" s="5"/>
      <c r="E11" s="5"/>
      <c r="F11" s="5"/>
    </row>
    <row r="12" customFormat="false" ht="45.75" hidden="false" customHeight="true" outlineLevel="0" collapsed="false">
      <c r="B12" s="4" t="s">
        <v>15</v>
      </c>
      <c r="C12" s="5" t="s">
        <v>16</v>
      </c>
      <c r="D12" s="5"/>
      <c r="E12" s="5"/>
      <c r="F12" s="5"/>
    </row>
    <row r="13" customFormat="false" ht="21.75" hidden="false" customHeight="true" outlineLevel="0" collapsed="false">
      <c r="B13" s="4" t="s">
        <v>17</v>
      </c>
      <c r="C13" s="5" t="s">
        <v>18</v>
      </c>
      <c r="D13" s="5"/>
      <c r="E13" s="5"/>
      <c r="F13" s="5"/>
    </row>
    <row r="14" customFormat="false" ht="21.75" hidden="false" customHeight="true" outlineLevel="0" collapsed="false">
      <c r="B14" s="4" t="s">
        <v>19</v>
      </c>
      <c r="C14" s="5" t="s">
        <v>20</v>
      </c>
      <c r="D14" s="5"/>
      <c r="E14" s="5"/>
      <c r="F14" s="5"/>
    </row>
    <row r="16" customFormat="false" ht="15" hidden="false" customHeight="false" outlineLevel="0" collapsed="false">
      <c r="B16" s="6" t="s">
        <v>21</v>
      </c>
    </row>
    <row r="17" customFormat="false" ht="15" hidden="false" customHeight="false" outlineLevel="0" collapsed="false">
      <c r="B17" s="7" t="s">
        <v>22</v>
      </c>
      <c r="C17" s="7" t="s">
        <v>23</v>
      </c>
      <c r="D17" s="7" t="s">
        <v>24</v>
      </c>
      <c r="E17" s="7" t="s">
        <v>25</v>
      </c>
      <c r="F17" s="7" t="s">
        <v>26</v>
      </c>
    </row>
    <row r="18" customFormat="false" ht="15" hidden="false" customHeight="false" outlineLevel="0" collapsed="false">
      <c r="B18" s="8" t="s">
        <v>27</v>
      </c>
      <c r="C18" s="5" t="s">
        <v>28</v>
      </c>
      <c r="D18" s="8" t="n">
        <f aca="false">COUNTIFS('ผลกระทบเล่ม 4'!$B$4:$B$500,"User Flow",'ผลกระทบเล่ม 4'!$H$4:$H$500,B18)</f>
        <v>3</v>
      </c>
      <c r="E18" s="8" t="n">
        <f aca="false">COUNTIFS('ผลกระทบเล่ม 4'!$B$4:$B$500,"Data Flow",'ผลกระทบเล่ม 4'!$H$4:$H$500,B18)</f>
        <v>5</v>
      </c>
      <c r="F18" s="9" t="n">
        <f aca="false">D18+E18</f>
        <v>8</v>
      </c>
    </row>
    <row r="19" customFormat="false" ht="15" hidden="false" customHeight="false" outlineLevel="0" collapsed="false">
      <c r="B19" s="8" t="s">
        <v>29</v>
      </c>
      <c r="C19" s="5" t="s">
        <v>30</v>
      </c>
      <c r="D19" s="8" t="n">
        <f aca="false">COUNTIFS('ผลกระทบเล่ม 4'!$B$4:$B$500,"User Flow",'ผลกระทบเล่ม 4'!$H$4:$H$500,B19)</f>
        <v>12</v>
      </c>
      <c r="E19" s="8" t="n">
        <f aca="false">COUNTIFS('ผลกระทบเล่ม 4'!$B$4:$B$500,"Data Flow",'ผลกระทบเล่ม 4'!$H$4:$H$500,B19)</f>
        <v>7</v>
      </c>
      <c r="F19" s="9" t="n">
        <f aca="false">D19+E19</f>
        <v>19</v>
      </c>
    </row>
    <row r="20" customFormat="false" ht="15" hidden="false" customHeight="false" outlineLevel="0" collapsed="false">
      <c r="B20" s="8" t="s">
        <v>31</v>
      </c>
      <c r="C20" s="5" t="s">
        <v>32</v>
      </c>
      <c r="D20" s="8" t="n">
        <f aca="false">COUNTIFS('ผลกระทบเล่ม 4'!$B$4:$B$500,"User Flow",'ผลกระทบเล่ม 4'!$H$4:$H$500,B20)</f>
        <v>3</v>
      </c>
      <c r="E20" s="8" t="n">
        <f aca="false">COUNTIFS('ผลกระทบเล่ม 4'!$B$4:$B$500,"Data Flow",'ผลกระทบเล่ม 4'!$H$4:$H$500,B20)</f>
        <v>2</v>
      </c>
      <c r="F20" s="9" t="n">
        <f aca="false">D20+E20</f>
        <v>5</v>
      </c>
    </row>
    <row r="21" customFormat="false" ht="15" hidden="false" customHeight="false" outlineLevel="0" collapsed="false">
      <c r="B21" s="8" t="s">
        <v>33</v>
      </c>
      <c r="C21" s="5" t="s">
        <v>34</v>
      </c>
      <c r="D21" s="8" t="n">
        <f aca="false">COUNTIFS('ผลกระทบเล่ม 4'!$B$4:$B$500,"User Flow",'ผลกระทบเล่ม 4'!$H$4:$H$500,B21)</f>
        <v>0</v>
      </c>
      <c r="E21" s="8" t="n">
        <f aca="false">COUNTIFS('ผลกระทบเล่ม 4'!$B$4:$B$500,"Data Flow",'ผลกระทบเล่ม 4'!$H$4:$H$500,B21)</f>
        <v>1</v>
      </c>
      <c r="F21" s="9" t="n">
        <f aca="false">D21+E21</f>
        <v>1</v>
      </c>
    </row>
    <row r="22" customFormat="false" ht="15" hidden="false" customHeight="false" outlineLevel="0" collapsed="false">
      <c r="B22" s="8" t="s">
        <v>35</v>
      </c>
      <c r="C22" s="5" t="s">
        <v>36</v>
      </c>
      <c r="D22" s="8" t="n">
        <f aca="false">COUNTIFS('ผลกระทบเล่ม 4'!$B$4:$B$500,"User Flow",'ผลกระทบเล่ม 4'!$H$4:$H$500,B22)</f>
        <v>2</v>
      </c>
      <c r="E22" s="8" t="n">
        <f aca="false">COUNTIFS('ผลกระทบเล่ม 4'!$B$4:$B$500,"Data Flow",'ผลกระทบเล่ม 4'!$H$4:$H$500,B22)</f>
        <v>0</v>
      </c>
      <c r="F22" s="9" t="n">
        <f aca="false">D22+E22</f>
        <v>2</v>
      </c>
    </row>
    <row r="23" customFormat="false" ht="15" hidden="false" customHeight="false" outlineLevel="0" collapsed="false">
      <c r="B23" s="8" t="s">
        <v>37</v>
      </c>
      <c r="C23" s="5" t="s">
        <v>38</v>
      </c>
      <c r="D23" s="8" t="n">
        <f aca="false">COUNTIFS('ผลกระทบเล่ม 4'!$B$4:$B$500,"User Flow",'ผลกระทบเล่ม 4'!$H$4:$H$500,B23)</f>
        <v>1</v>
      </c>
      <c r="E23" s="8" t="n">
        <f aca="false">COUNTIFS('ผลกระทบเล่ม 4'!$B$4:$B$500,"Data Flow",'ผลกระทบเล่ม 4'!$H$4:$H$500,B23)</f>
        <v>2</v>
      </c>
      <c r="F23" s="9" t="n">
        <f aca="false">D23+E23</f>
        <v>3</v>
      </c>
    </row>
    <row r="24" customFormat="false" ht="15" hidden="false" customHeight="true" outlineLevel="0" collapsed="false">
      <c r="B24" s="7" t="s">
        <v>39</v>
      </c>
      <c r="C24" s="7"/>
      <c r="D24" s="7" t="n">
        <f aca="false">SUM(D18:D23)</f>
        <v>21</v>
      </c>
      <c r="E24" s="7" t="n">
        <f aca="false">SUM(E18:E23)</f>
        <v>17</v>
      </c>
      <c r="F24" s="7" t="n">
        <f aca="false">SUM(F18:F23)</f>
        <v>38</v>
      </c>
    </row>
    <row r="26" customFormat="false" ht="15" hidden="false" customHeight="false" outlineLevel="0" collapsed="false">
      <c r="B26" s="6" t="s">
        <v>40</v>
      </c>
    </row>
    <row r="27" customFormat="false" ht="15" hidden="false" customHeight="false" outlineLevel="0" collapsed="false">
      <c r="B27" s="7" t="s">
        <v>41</v>
      </c>
      <c r="C27" s="7" t="s">
        <v>42</v>
      </c>
      <c r="D27" s="7" t="s">
        <v>43</v>
      </c>
    </row>
    <row r="28" customFormat="false" ht="15" hidden="false" customHeight="false" outlineLevel="0" collapsed="false">
      <c r="B28" s="8" t="s">
        <v>24</v>
      </c>
      <c r="C28" s="5" t="s">
        <v>44</v>
      </c>
      <c r="D28" s="8" t="n">
        <f aca="false">COUNTIF(ประเด็นรอยืนยัน!$B$2:$B$200,B28)</f>
        <v>13</v>
      </c>
    </row>
    <row r="29" customFormat="false" ht="15" hidden="false" customHeight="false" outlineLevel="0" collapsed="false">
      <c r="B29" s="8" t="s">
        <v>25</v>
      </c>
      <c r="C29" s="5" t="s">
        <v>45</v>
      </c>
      <c r="D29" s="8" t="n">
        <f aca="false">COUNTIF(ประเด็นรอยืนยัน!$B$2:$B$200,B29)</f>
        <v>13</v>
      </c>
    </row>
    <row r="31" customFormat="false" ht="30" hidden="false" customHeight="true" outlineLevel="0" collapsed="false">
      <c r="B31" s="10" t="s">
        <v>46</v>
      </c>
      <c r="C31" s="10"/>
      <c r="D31" s="10"/>
      <c r="E31" s="10"/>
      <c r="F31" s="10"/>
    </row>
  </sheetData>
  <mergeCells count="14">
    <mergeCell ref="B2:F2"/>
    <mergeCell ref="B3:F3"/>
    <mergeCell ref="B4:F4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B24:C24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48"/>
    <col collapsed="false" customWidth="true" hidden="false" outlineLevel="0" max="6" min="6" style="0" width="32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30"/>
  </cols>
  <sheetData>
    <row r="1" customFormat="false" ht="17.15" hidden="false" customHeight="false" outlineLevel="0" collapsed="false">
      <c r="A1" s="11" t="s">
        <v>47</v>
      </c>
    </row>
    <row r="2" customFormat="false" ht="15" hidden="false" customHeight="false" outlineLevel="0" collapsed="false">
      <c r="A2" s="12" t="s">
        <v>48</v>
      </c>
    </row>
    <row r="3" customFormat="false" ht="31.5" hidden="false" customHeight="true" outlineLevel="0" collapsed="false">
      <c r="A3" s="13" t="s">
        <v>49</v>
      </c>
      <c r="B3" s="13" t="s">
        <v>50</v>
      </c>
      <c r="C3" s="13" t="s">
        <v>51</v>
      </c>
      <c r="D3" s="13" t="s">
        <v>52</v>
      </c>
      <c r="E3" s="13" t="s">
        <v>53</v>
      </c>
      <c r="F3" s="13" t="s">
        <v>54</v>
      </c>
      <c r="G3" s="13" t="s">
        <v>55</v>
      </c>
      <c r="H3" s="13" t="s">
        <v>22</v>
      </c>
      <c r="I3" s="13" t="s">
        <v>56</v>
      </c>
    </row>
    <row r="4" customFormat="false" ht="23.85" hidden="false" customHeight="false" outlineLevel="0" collapsed="false">
      <c r="A4" s="14" t="n">
        <v>1</v>
      </c>
      <c r="B4" s="14" t="s">
        <v>24</v>
      </c>
      <c r="C4" s="15" t="s">
        <v>57</v>
      </c>
      <c r="D4" s="15" t="s">
        <v>58</v>
      </c>
      <c r="E4" s="15" t="s">
        <v>59</v>
      </c>
      <c r="F4" s="15" t="s">
        <v>60</v>
      </c>
      <c r="G4" s="14" t="s">
        <v>61</v>
      </c>
      <c r="H4" s="15" t="s">
        <v>27</v>
      </c>
      <c r="I4" s="15" t="s">
        <v>62</v>
      </c>
    </row>
    <row r="5" customFormat="false" ht="35.05" hidden="false" customHeight="false" outlineLevel="0" collapsed="false">
      <c r="A5" s="14" t="n">
        <v>2</v>
      </c>
      <c r="B5" s="14" t="s">
        <v>24</v>
      </c>
      <c r="C5" s="15" t="s">
        <v>63</v>
      </c>
      <c r="D5" s="15" t="s">
        <v>64</v>
      </c>
      <c r="E5" s="15" t="s">
        <v>65</v>
      </c>
      <c r="F5" s="15" t="s">
        <v>66</v>
      </c>
      <c r="G5" s="14" t="s">
        <v>67</v>
      </c>
      <c r="H5" s="15" t="s">
        <v>27</v>
      </c>
      <c r="I5" s="15" t="s">
        <v>68</v>
      </c>
    </row>
    <row r="6" customFormat="false" ht="46.25" hidden="false" customHeight="false" outlineLevel="0" collapsed="false">
      <c r="A6" s="14" t="n">
        <v>3</v>
      </c>
      <c r="B6" s="14" t="s">
        <v>24</v>
      </c>
      <c r="C6" s="15" t="s">
        <v>69</v>
      </c>
      <c r="D6" s="15" t="s">
        <v>70</v>
      </c>
      <c r="E6" s="15" t="s">
        <v>71</v>
      </c>
      <c r="F6" s="15" t="s">
        <v>72</v>
      </c>
      <c r="G6" s="14" t="s">
        <v>73</v>
      </c>
      <c r="H6" s="15" t="s">
        <v>29</v>
      </c>
      <c r="I6" s="15" t="s">
        <v>74</v>
      </c>
    </row>
    <row r="7" customFormat="false" ht="46.25" hidden="false" customHeight="false" outlineLevel="0" collapsed="false">
      <c r="A7" s="14" t="n">
        <v>4</v>
      </c>
      <c r="B7" s="14" t="s">
        <v>24</v>
      </c>
      <c r="C7" s="15" t="s">
        <v>75</v>
      </c>
      <c r="D7" s="15" t="s">
        <v>76</v>
      </c>
      <c r="E7" s="15" t="s">
        <v>77</v>
      </c>
      <c r="F7" s="15" t="s">
        <v>78</v>
      </c>
      <c r="G7" s="14" t="s">
        <v>79</v>
      </c>
      <c r="H7" s="15" t="s">
        <v>29</v>
      </c>
      <c r="I7" s="15" t="s">
        <v>80</v>
      </c>
    </row>
    <row r="8" customFormat="false" ht="23.85" hidden="false" customHeight="false" outlineLevel="0" collapsed="false">
      <c r="A8" s="14" t="n">
        <v>5</v>
      </c>
      <c r="B8" s="14" t="s">
        <v>24</v>
      </c>
      <c r="C8" s="15" t="s">
        <v>81</v>
      </c>
      <c r="D8" s="15" t="s">
        <v>82</v>
      </c>
      <c r="E8" s="15" t="s">
        <v>83</v>
      </c>
      <c r="F8" s="15" t="s">
        <v>84</v>
      </c>
      <c r="G8" s="14" t="s">
        <v>85</v>
      </c>
      <c r="H8" s="15" t="s">
        <v>29</v>
      </c>
      <c r="I8" s="15" t="s">
        <v>86</v>
      </c>
    </row>
    <row r="9" customFormat="false" ht="23.85" hidden="false" customHeight="false" outlineLevel="0" collapsed="false">
      <c r="A9" s="14" t="n">
        <v>6</v>
      </c>
      <c r="B9" s="14" t="s">
        <v>24</v>
      </c>
      <c r="C9" s="15" t="s">
        <v>87</v>
      </c>
      <c r="D9" s="15" t="s">
        <v>88</v>
      </c>
      <c r="E9" s="15" t="s">
        <v>89</v>
      </c>
      <c r="F9" s="15" t="s">
        <v>90</v>
      </c>
      <c r="G9" s="14" t="s">
        <v>85</v>
      </c>
      <c r="H9" s="15" t="s">
        <v>31</v>
      </c>
      <c r="I9" s="15" t="s">
        <v>91</v>
      </c>
    </row>
    <row r="10" customFormat="false" ht="35.05" hidden="false" customHeight="false" outlineLevel="0" collapsed="false">
      <c r="A10" s="14" t="n">
        <v>7</v>
      </c>
      <c r="B10" s="14" t="s">
        <v>24</v>
      </c>
      <c r="C10" s="15" t="s">
        <v>92</v>
      </c>
      <c r="D10" s="15" t="s">
        <v>93</v>
      </c>
      <c r="E10" s="15" t="s">
        <v>94</v>
      </c>
      <c r="F10" s="15" t="s">
        <v>95</v>
      </c>
      <c r="G10" s="14" t="s">
        <v>96</v>
      </c>
      <c r="H10" s="15" t="s">
        <v>29</v>
      </c>
      <c r="I10" s="15" t="s">
        <v>97</v>
      </c>
    </row>
    <row r="11" customFormat="false" ht="35.05" hidden="false" customHeight="false" outlineLevel="0" collapsed="false">
      <c r="A11" s="14" t="n">
        <v>8</v>
      </c>
      <c r="B11" s="14" t="s">
        <v>24</v>
      </c>
      <c r="C11" s="15" t="s">
        <v>98</v>
      </c>
      <c r="D11" s="15" t="s">
        <v>99</v>
      </c>
      <c r="E11" s="15" t="s">
        <v>100</v>
      </c>
      <c r="F11" s="15" t="s">
        <v>101</v>
      </c>
      <c r="G11" s="14" t="s">
        <v>102</v>
      </c>
      <c r="H11" s="15" t="s">
        <v>29</v>
      </c>
      <c r="I11" s="15" t="s">
        <v>103</v>
      </c>
    </row>
    <row r="12" customFormat="false" ht="23.85" hidden="false" customHeight="false" outlineLevel="0" collapsed="false">
      <c r="A12" s="14" t="n">
        <v>9</v>
      </c>
      <c r="B12" s="14" t="s">
        <v>24</v>
      </c>
      <c r="C12" s="15" t="s">
        <v>104</v>
      </c>
      <c r="D12" s="15" t="s">
        <v>105</v>
      </c>
      <c r="E12" s="15" t="s">
        <v>106</v>
      </c>
      <c r="F12" s="15" t="s">
        <v>107</v>
      </c>
      <c r="G12" s="14" t="s">
        <v>108</v>
      </c>
      <c r="H12" s="15" t="s">
        <v>29</v>
      </c>
      <c r="I12" s="15" t="s">
        <v>109</v>
      </c>
    </row>
    <row r="13" customFormat="false" ht="23.85" hidden="false" customHeight="false" outlineLevel="0" collapsed="false">
      <c r="A13" s="14" t="n">
        <v>10</v>
      </c>
      <c r="B13" s="14" t="s">
        <v>24</v>
      </c>
      <c r="C13" s="15" t="s">
        <v>110</v>
      </c>
      <c r="D13" s="15" t="s">
        <v>111</v>
      </c>
      <c r="E13" s="15" t="s">
        <v>112</v>
      </c>
      <c r="F13" s="15" t="s">
        <v>113</v>
      </c>
      <c r="G13" s="14" t="s">
        <v>108</v>
      </c>
      <c r="H13" s="15" t="s">
        <v>35</v>
      </c>
      <c r="I13" s="15" t="s">
        <v>114</v>
      </c>
    </row>
    <row r="14" customFormat="false" ht="46.25" hidden="false" customHeight="false" outlineLevel="0" collapsed="false">
      <c r="A14" s="14" t="n">
        <v>11</v>
      </c>
      <c r="B14" s="14" t="s">
        <v>24</v>
      </c>
      <c r="C14" s="15" t="s">
        <v>115</v>
      </c>
      <c r="D14" s="15" t="s">
        <v>116</v>
      </c>
      <c r="E14" s="15" t="s">
        <v>117</v>
      </c>
      <c r="F14" s="15" t="s">
        <v>118</v>
      </c>
      <c r="G14" s="14" t="s">
        <v>119</v>
      </c>
      <c r="H14" s="15" t="s">
        <v>29</v>
      </c>
      <c r="I14" s="15" t="s">
        <v>120</v>
      </c>
    </row>
    <row r="15" customFormat="false" ht="23.85" hidden="false" customHeight="false" outlineLevel="0" collapsed="false">
      <c r="A15" s="14" t="n">
        <v>12</v>
      </c>
      <c r="B15" s="14" t="s">
        <v>24</v>
      </c>
      <c r="C15" s="15" t="s">
        <v>121</v>
      </c>
      <c r="D15" s="15" t="s">
        <v>122</v>
      </c>
      <c r="E15" s="15" t="s">
        <v>123</v>
      </c>
      <c r="F15" s="15" t="s">
        <v>124</v>
      </c>
      <c r="G15" s="14" t="s">
        <v>125</v>
      </c>
      <c r="H15" s="15" t="s">
        <v>29</v>
      </c>
      <c r="I15" s="15" t="s">
        <v>126</v>
      </c>
    </row>
    <row r="16" customFormat="false" ht="23.85" hidden="false" customHeight="false" outlineLevel="0" collapsed="false">
      <c r="A16" s="14" t="n">
        <v>13</v>
      </c>
      <c r="B16" s="14" t="s">
        <v>24</v>
      </c>
      <c r="C16" s="15" t="s">
        <v>127</v>
      </c>
      <c r="D16" s="15" t="s">
        <v>128</v>
      </c>
      <c r="E16" s="15" t="s">
        <v>129</v>
      </c>
      <c r="F16" s="15" t="s">
        <v>124</v>
      </c>
      <c r="G16" s="14" t="s">
        <v>130</v>
      </c>
      <c r="H16" s="15" t="s">
        <v>29</v>
      </c>
      <c r="I16" s="15" t="s">
        <v>131</v>
      </c>
    </row>
    <row r="17" customFormat="false" ht="35.05" hidden="false" customHeight="false" outlineLevel="0" collapsed="false">
      <c r="A17" s="14" t="n">
        <v>14</v>
      </c>
      <c r="B17" s="14" t="s">
        <v>24</v>
      </c>
      <c r="C17" s="15" t="s">
        <v>132</v>
      </c>
      <c r="D17" s="15" t="s">
        <v>133</v>
      </c>
      <c r="E17" s="15" t="s">
        <v>134</v>
      </c>
      <c r="F17" s="15" t="s">
        <v>124</v>
      </c>
      <c r="G17" s="14" t="s">
        <v>135</v>
      </c>
      <c r="H17" s="15" t="s">
        <v>29</v>
      </c>
      <c r="I17" s="15" t="s">
        <v>136</v>
      </c>
    </row>
    <row r="18" customFormat="false" ht="35.05" hidden="false" customHeight="false" outlineLevel="0" collapsed="false">
      <c r="A18" s="14" t="n">
        <v>15</v>
      </c>
      <c r="B18" s="14" t="s">
        <v>24</v>
      </c>
      <c r="C18" s="15" t="s">
        <v>137</v>
      </c>
      <c r="D18" s="15" t="s">
        <v>138</v>
      </c>
      <c r="E18" s="15" t="s">
        <v>139</v>
      </c>
      <c r="F18" s="15" t="s">
        <v>124</v>
      </c>
      <c r="G18" s="14" t="s">
        <v>140</v>
      </c>
      <c r="H18" s="15" t="s">
        <v>29</v>
      </c>
      <c r="I18" s="15" t="s">
        <v>141</v>
      </c>
    </row>
    <row r="19" customFormat="false" ht="35.05" hidden="false" customHeight="false" outlineLevel="0" collapsed="false">
      <c r="A19" s="14" t="n">
        <v>16</v>
      </c>
      <c r="B19" s="14" t="s">
        <v>24</v>
      </c>
      <c r="C19" s="15" t="s">
        <v>142</v>
      </c>
      <c r="D19" s="15" t="s">
        <v>143</v>
      </c>
      <c r="E19" s="15" t="s">
        <v>144</v>
      </c>
      <c r="F19" s="15" t="s">
        <v>145</v>
      </c>
      <c r="G19" s="14" t="s">
        <v>146</v>
      </c>
      <c r="H19" s="15" t="s">
        <v>29</v>
      </c>
      <c r="I19" s="15" t="s">
        <v>147</v>
      </c>
    </row>
    <row r="20" customFormat="false" ht="23.85" hidden="false" customHeight="false" outlineLevel="0" collapsed="false">
      <c r="A20" s="14" t="n">
        <v>17</v>
      </c>
      <c r="B20" s="14" t="s">
        <v>24</v>
      </c>
      <c r="C20" s="15" t="s">
        <v>148</v>
      </c>
      <c r="D20" s="15" t="s">
        <v>149</v>
      </c>
      <c r="E20" s="15" t="s">
        <v>150</v>
      </c>
      <c r="F20" s="15" t="s">
        <v>113</v>
      </c>
      <c r="G20" s="14" t="s">
        <v>151</v>
      </c>
      <c r="H20" s="15" t="s">
        <v>35</v>
      </c>
      <c r="I20" s="15" t="s">
        <v>152</v>
      </c>
    </row>
    <row r="21" customFormat="false" ht="23.85" hidden="false" customHeight="false" outlineLevel="0" collapsed="false">
      <c r="A21" s="14" t="n">
        <v>18</v>
      </c>
      <c r="B21" s="14" t="s">
        <v>24</v>
      </c>
      <c r="C21" s="15" t="s">
        <v>153</v>
      </c>
      <c r="D21" s="15" t="s">
        <v>154</v>
      </c>
      <c r="E21" s="15" t="s">
        <v>155</v>
      </c>
      <c r="F21" s="15" t="s">
        <v>156</v>
      </c>
      <c r="G21" s="14" t="s">
        <v>157</v>
      </c>
      <c r="H21" s="15" t="s">
        <v>27</v>
      </c>
      <c r="I21" s="15" t="s">
        <v>158</v>
      </c>
    </row>
    <row r="22" customFormat="false" ht="23.85" hidden="false" customHeight="false" outlineLevel="0" collapsed="false">
      <c r="A22" s="14" t="n">
        <v>19</v>
      </c>
      <c r="B22" s="14" t="s">
        <v>24</v>
      </c>
      <c r="C22" s="15" t="s">
        <v>159</v>
      </c>
      <c r="D22" s="15" t="s">
        <v>160</v>
      </c>
      <c r="E22" s="15" t="s">
        <v>161</v>
      </c>
      <c r="F22" s="15" t="s">
        <v>162</v>
      </c>
      <c r="G22" s="14" t="s">
        <v>163</v>
      </c>
      <c r="H22" s="15" t="s">
        <v>37</v>
      </c>
      <c r="I22" s="15" t="s">
        <v>68</v>
      </c>
    </row>
    <row r="23" customFormat="false" ht="23.85" hidden="false" customHeight="false" outlineLevel="0" collapsed="false">
      <c r="A23" s="14" t="n">
        <v>20</v>
      </c>
      <c r="B23" s="14" t="s">
        <v>24</v>
      </c>
      <c r="C23" s="15" t="s">
        <v>164</v>
      </c>
      <c r="D23" s="15" t="s">
        <v>165</v>
      </c>
      <c r="E23" s="15" t="s">
        <v>166</v>
      </c>
      <c r="F23" s="15" t="s">
        <v>167</v>
      </c>
      <c r="G23" s="14" t="s">
        <v>163</v>
      </c>
      <c r="H23" s="15" t="s">
        <v>31</v>
      </c>
      <c r="I23" s="15" t="s">
        <v>168</v>
      </c>
    </row>
    <row r="24" customFormat="false" ht="23.85" hidden="false" customHeight="false" outlineLevel="0" collapsed="false">
      <c r="A24" s="14" t="n">
        <v>21</v>
      </c>
      <c r="B24" s="14" t="s">
        <v>24</v>
      </c>
      <c r="C24" s="15" t="s">
        <v>169</v>
      </c>
      <c r="D24" s="15" t="s">
        <v>170</v>
      </c>
      <c r="E24" s="15" t="s">
        <v>171</v>
      </c>
      <c r="F24" s="15" t="s">
        <v>172</v>
      </c>
      <c r="G24" s="14" t="s">
        <v>173</v>
      </c>
      <c r="H24" s="15" t="s">
        <v>31</v>
      </c>
      <c r="I24" s="15" t="s">
        <v>174</v>
      </c>
    </row>
    <row r="25" customFormat="false" ht="79.85" hidden="false" customHeight="false" outlineLevel="0" collapsed="false">
      <c r="A25" s="14" t="n">
        <v>22</v>
      </c>
      <c r="B25" s="16" t="s">
        <v>25</v>
      </c>
      <c r="C25" s="15" t="s">
        <v>175</v>
      </c>
      <c r="D25" s="15" t="s">
        <v>176</v>
      </c>
      <c r="E25" s="15" t="s">
        <v>177</v>
      </c>
      <c r="F25" s="15" t="s">
        <v>178</v>
      </c>
      <c r="G25" s="14" t="s">
        <v>179</v>
      </c>
      <c r="H25" s="15" t="s">
        <v>29</v>
      </c>
      <c r="I25" s="15" t="s">
        <v>180</v>
      </c>
    </row>
    <row r="26" customFormat="false" ht="23.85" hidden="false" customHeight="false" outlineLevel="0" collapsed="false">
      <c r="A26" s="14" t="n">
        <v>23</v>
      </c>
      <c r="B26" s="16" t="s">
        <v>25</v>
      </c>
      <c r="C26" s="15" t="s">
        <v>181</v>
      </c>
      <c r="D26" s="15" t="s">
        <v>182</v>
      </c>
      <c r="E26" s="15" t="s">
        <v>183</v>
      </c>
      <c r="F26" s="15" t="s">
        <v>184</v>
      </c>
      <c r="G26" s="14" t="s">
        <v>185</v>
      </c>
      <c r="H26" s="15" t="s">
        <v>27</v>
      </c>
      <c r="I26" s="15" t="s">
        <v>68</v>
      </c>
    </row>
    <row r="27" customFormat="false" ht="23.85" hidden="false" customHeight="false" outlineLevel="0" collapsed="false">
      <c r="A27" s="14" t="n">
        <v>24</v>
      </c>
      <c r="B27" s="16" t="s">
        <v>25</v>
      </c>
      <c r="C27" s="15" t="s">
        <v>186</v>
      </c>
      <c r="D27" s="15" t="s">
        <v>187</v>
      </c>
      <c r="E27" s="15" t="s">
        <v>188</v>
      </c>
      <c r="F27" s="15" t="s">
        <v>189</v>
      </c>
      <c r="G27" s="14" t="s">
        <v>190</v>
      </c>
      <c r="H27" s="15" t="s">
        <v>29</v>
      </c>
      <c r="I27" s="15" t="s">
        <v>191</v>
      </c>
    </row>
    <row r="28" customFormat="false" ht="23.85" hidden="false" customHeight="false" outlineLevel="0" collapsed="false">
      <c r="A28" s="14" t="n">
        <v>25</v>
      </c>
      <c r="B28" s="16" t="s">
        <v>25</v>
      </c>
      <c r="C28" s="15" t="s">
        <v>192</v>
      </c>
      <c r="D28" s="15" t="s">
        <v>193</v>
      </c>
      <c r="E28" s="15" t="s">
        <v>194</v>
      </c>
      <c r="F28" s="15" t="s">
        <v>195</v>
      </c>
      <c r="G28" s="14" t="s">
        <v>196</v>
      </c>
      <c r="H28" s="15" t="s">
        <v>27</v>
      </c>
      <c r="I28" s="15" t="s">
        <v>68</v>
      </c>
    </row>
    <row r="29" customFormat="false" ht="68.65" hidden="false" customHeight="false" outlineLevel="0" collapsed="false">
      <c r="A29" s="14" t="n">
        <v>26</v>
      </c>
      <c r="B29" s="16" t="s">
        <v>25</v>
      </c>
      <c r="C29" s="15" t="s">
        <v>197</v>
      </c>
      <c r="D29" s="15" t="s">
        <v>198</v>
      </c>
      <c r="E29" s="15" t="s">
        <v>199</v>
      </c>
      <c r="F29" s="15" t="s">
        <v>178</v>
      </c>
      <c r="G29" s="14" t="s">
        <v>200</v>
      </c>
      <c r="H29" s="15" t="s">
        <v>29</v>
      </c>
      <c r="I29" s="15" t="s">
        <v>201</v>
      </c>
    </row>
    <row r="30" customFormat="false" ht="35.05" hidden="false" customHeight="false" outlineLevel="0" collapsed="false">
      <c r="A30" s="14" t="n">
        <v>27</v>
      </c>
      <c r="B30" s="16" t="s">
        <v>25</v>
      </c>
      <c r="C30" s="15" t="s">
        <v>202</v>
      </c>
      <c r="D30" s="15" t="s">
        <v>203</v>
      </c>
      <c r="E30" s="15" t="s">
        <v>204</v>
      </c>
      <c r="F30" s="15" t="s">
        <v>205</v>
      </c>
      <c r="G30" s="14" t="s">
        <v>206</v>
      </c>
      <c r="H30" s="15" t="s">
        <v>29</v>
      </c>
      <c r="I30" s="15" t="s">
        <v>207</v>
      </c>
    </row>
    <row r="31" customFormat="false" ht="23.85" hidden="false" customHeight="false" outlineLevel="0" collapsed="false">
      <c r="A31" s="14" t="n">
        <v>28</v>
      </c>
      <c r="B31" s="16" t="s">
        <v>25</v>
      </c>
      <c r="C31" s="15" t="s">
        <v>208</v>
      </c>
      <c r="D31" s="15" t="s">
        <v>209</v>
      </c>
      <c r="E31" s="15" t="s">
        <v>210</v>
      </c>
      <c r="F31" s="15" t="s">
        <v>211</v>
      </c>
      <c r="G31" s="14" t="s">
        <v>212</v>
      </c>
      <c r="H31" s="15" t="s">
        <v>31</v>
      </c>
      <c r="I31" s="15" t="s">
        <v>213</v>
      </c>
    </row>
    <row r="32" customFormat="false" ht="46.25" hidden="false" customHeight="false" outlineLevel="0" collapsed="false">
      <c r="A32" s="14" t="n">
        <v>29</v>
      </c>
      <c r="B32" s="16" t="s">
        <v>25</v>
      </c>
      <c r="C32" s="15" t="s">
        <v>214</v>
      </c>
      <c r="D32" s="15" t="s">
        <v>215</v>
      </c>
      <c r="E32" s="15" t="s">
        <v>216</v>
      </c>
      <c r="F32" s="15" t="s">
        <v>217</v>
      </c>
      <c r="G32" s="14" t="s">
        <v>218</v>
      </c>
      <c r="H32" s="15" t="s">
        <v>29</v>
      </c>
      <c r="I32" s="15" t="s">
        <v>219</v>
      </c>
    </row>
    <row r="33" customFormat="false" ht="46.25" hidden="false" customHeight="false" outlineLevel="0" collapsed="false">
      <c r="A33" s="14" t="n">
        <v>30</v>
      </c>
      <c r="B33" s="16" t="s">
        <v>25</v>
      </c>
      <c r="C33" s="15" t="s">
        <v>220</v>
      </c>
      <c r="D33" s="15" t="s">
        <v>221</v>
      </c>
      <c r="E33" s="15" t="s">
        <v>222</v>
      </c>
      <c r="F33" s="15" t="s">
        <v>178</v>
      </c>
      <c r="G33" s="14" t="s">
        <v>223</v>
      </c>
      <c r="H33" s="15" t="s">
        <v>29</v>
      </c>
      <c r="I33" s="15" t="s">
        <v>224</v>
      </c>
    </row>
    <row r="34" customFormat="false" ht="35.05" hidden="false" customHeight="false" outlineLevel="0" collapsed="false">
      <c r="A34" s="14" t="n">
        <v>31</v>
      </c>
      <c r="B34" s="16" t="s">
        <v>25</v>
      </c>
      <c r="C34" s="15" t="s">
        <v>225</v>
      </c>
      <c r="D34" s="15" t="s">
        <v>226</v>
      </c>
      <c r="E34" s="15" t="s">
        <v>227</v>
      </c>
      <c r="F34" s="15" t="s">
        <v>228</v>
      </c>
      <c r="G34" s="14" t="s">
        <v>229</v>
      </c>
      <c r="H34" s="15" t="s">
        <v>27</v>
      </c>
      <c r="I34" s="15" t="s">
        <v>230</v>
      </c>
    </row>
    <row r="35" customFormat="false" ht="23.85" hidden="false" customHeight="false" outlineLevel="0" collapsed="false">
      <c r="A35" s="14" t="n">
        <v>32</v>
      </c>
      <c r="B35" s="16" t="s">
        <v>25</v>
      </c>
      <c r="C35" s="15" t="s">
        <v>231</v>
      </c>
      <c r="D35" s="15" t="s">
        <v>209</v>
      </c>
      <c r="E35" s="15" t="s">
        <v>232</v>
      </c>
      <c r="F35" s="15" t="s">
        <v>233</v>
      </c>
      <c r="G35" s="14" t="s">
        <v>234</v>
      </c>
      <c r="H35" s="15" t="s">
        <v>31</v>
      </c>
      <c r="I35" s="15" t="s">
        <v>213</v>
      </c>
    </row>
    <row r="36" customFormat="false" ht="35.05" hidden="false" customHeight="false" outlineLevel="0" collapsed="false">
      <c r="A36" s="14" t="n">
        <v>33</v>
      </c>
      <c r="B36" s="16" t="s">
        <v>25</v>
      </c>
      <c r="C36" s="15" t="s">
        <v>235</v>
      </c>
      <c r="D36" s="15" t="s">
        <v>236</v>
      </c>
      <c r="E36" s="15" t="s">
        <v>237</v>
      </c>
      <c r="F36" s="15" t="s">
        <v>217</v>
      </c>
      <c r="G36" s="14" t="s">
        <v>238</v>
      </c>
      <c r="H36" s="15" t="s">
        <v>29</v>
      </c>
      <c r="I36" s="15" t="s">
        <v>239</v>
      </c>
    </row>
    <row r="37" customFormat="false" ht="23.85" hidden="false" customHeight="false" outlineLevel="0" collapsed="false">
      <c r="A37" s="14" t="n">
        <v>34</v>
      </c>
      <c r="B37" s="16" t="s">
        <v>25</v>
      </c>
      <c r="C37" s="15" t="s">
        <v>240</v>
      </c>
      <c r="D37" s="15" t="s">
        <v>241</v>
      </c>
      <c r="E37" s="15" t="s">
        <v>242</v>
      </c>
      <c r="F37" s="15" t="s">
        <v>156</v>
      </c>
      <c r="G37" s="14" t="s">
        <v>157</v>
      </c>
      <c r="H37" s="15" t="s">
        <v>27</v>
      </c>
      <c r="I37" s="15" t="s">
        <v>243</v>
      </c>
    </row>
    <row r="38" customFormat="false" ht="23.85" hidden="false" customHeight="false" outlineLevel="0" collapsed="false">
      <c r="A38" s="14" t="n">
        <v>35</v>
      </c>
      <c r="B38" s="16" t="s">
        <v>25</v>
      </c>
      <c r="C38" s="15" t="s">
        <v>244</v>
      </c>
      <c r="D38" s="15" t="s">
        <v>245</v>
      </c>
      <c r="E38" s="15" t="s">
        <v>246</v>
      </c>
      <c r="F38" s="15" t="s">
        <v>60</v>
      </c>
      <c r="G38" s="14" t="s">
        <v>61</v>
      </c>
      <c r="H38" s="15" t="s">
        <v>27</v>
      </c>
      <c r="I38" s="15" t="s">
        <v>247</v>
      </c>
    </row>
    <row r="39" customFormat="false" ht="23.85" hidden="false" customHeight="false" outlineLevel="0" collapsed="false">
      <c r="A39" s="14" t="n">
        <v>36</v>
      </c>
      <c r="B39" s="16" t="s">
        <v>25</v>
      </c>
      <c r="C39" s="15" t="s">
        <v>248</v>
      </c>
      <c r="D39" s="15" t="s">
        <v>249</v>
      </c>
      <c r="E39" s="15" t="s">
        <v>250</v>
      </c>
      <c r="F39" s="15" t="s">
        <v>167</v>
      </c>
      <c r="G39" s="14" t="s">
        <v>68</v>
      </c>
      <c r="H39" s="15" t="s">
        <v>33</v>
      </c>
      <c r="I39" s="15" t="s">
        <v>251</v>
      </c>
    </row>
    <row r="40" customFormat="false" ht="23.85" hidden="false" customHeight="false" outlineLevel="0" collapsed="false">
      <c r="A40" s="14" t="n">
        <v>37</v>
      </c>
      <c r="B40" s="16" t="s">
        <v>25</v>
      </c>
      <c r="C40" s="15" t="s">
        <v>252</v>
      </c>
      <c r="D40" s="15" t="s">
        <v>253</v>
      </c>
      <c r="E40" s="15" t="s">
        <v>254</v>
      </c>
      <c r="F40" s="15" t="s">
        <v>162</v>
      </c>
      <c r="G40" s="14" t="s">
        <v>255</v>
      </c>
      <c r="H40" s="15" t="s">
        <v>37</v>
      </c>
      <c r="I40" s="15" t="s">
        <v>68</v>
      </c>
    </row>
    <row r="41" customFormat="false" ht="35.05" hidden="false" customHeight="false" outlineLevel="0" collapsed="false">
      <c r="A41" s="14" t="n">
        <v>38</v>
      </c>
      <c r="B41" s="16" t="s">
        <v>25</v>
      </c>
      <c r="C41" s="15" t="s">
        <v>256</v>
      </c>
      <c r="D41" s="15" t="s">
        <v>257</v>
      </c>
      <c r="E41" s="15" t="s">
        <v>258</v>
      </c>
      <c r="F41" s="15" t="s">
        <v>259</v>
      </c>
      <c r="G41" s="14" t="s">
        <v>173</v>
      </c>
      <c r="H41" s="15" t="s">
        <v>37</v>
      </c>
      <c r="I41" s="15" t="s">
        <v>68</v>
      </c>
    </row>
  </sheetData>
  <autoFilter ref="A3:I41"/>
  <dataValidations count="1">
    <dataValidation allowBlank="true" errorStyle="stop" operator="between" showDropDown="false" showErrorMessage="false" showInputMessage="false" sqref="H4:H500" type="list">
      <formula1>"แก้ไขแล้ว,แก้ไขแล้ว (มีรายการรอยืนยัน),รอยืนยัน,รอข้อมูล,ยังไม่แก้,ไม่กระทบ"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5" min="5" style="0" width="24"/>
    <col collapsed="false" customWidth="true" hidden="false" outlineLevel="0" max="6" min="6" style="0" width="34"/>
    <col collapsed="false" customWidth="true" hidden="false" outlineLevel="0" max="7" min="7" style="0" width="3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13" t="s">
        <v>42</v>
      </c>
      <c r="B1" s="13" t="s">
        <v>50</v>
      </c>
      <c r="C1" s="13" t="s">
        <v>260</v>
      </c>
      <c r="D1" s="13" t="s">
        <v>261</v>
      </c>
      <c r="E1" s="13" t="s">
        <v>262</v>
      </c>
      <c r="F1" s="13" t="s">
        <v>263</v>
      </c>
      <c r="G1" s="13" t="s">
        <v>264</v>
      </c>
      <c r="H1" s="13" t="s">
        <v>22</v>
      </c>
    </row>
    <row r="2" customFormat="false" ht="124.6" hidden="false" customHeight="false" outlineLevel="0" collapsed="false">
      <c r="A2" s="14" t="s">
        <v>265</v>
      </c>
      <c r="B2" s="14" t="s">
        <v>24</v>
      </c>
      <c r="C2" s="15" t="s">
        <v>266</v>
      </c>
      <c r="D2" s="15" t="s">
        <v>267</v>
      </c>
      <c r="E2" s="15" t="s">
        <v>268</v>
      </c>
      <c r="F2" s="15" t="s">
        <v>269</v>
      </c>
      <c r="G2" s="15" t="s">
        <v>270</v>
      </c>
      <c r="H2" s="15" t="s">
        <v>31</v>
      </c>
    </row>
    <row r="3" customFormat="false" ht="225.35" hidden="false" customHeight="false" outlineLevel="0" collapsed="false">
      <c r="A3" s="14" t="s">
        <v>97</v>
      </c>
      <c r="B3" s="14" t="s">
        <v>24</v>
      </c>
      <c r="C3" s="15" t="s">
        <v>271</v>
      </c>
      <c r="D3" s="15" t="s">
        <v>272</v>
      </c>
      <c r="E3" s="15" t="s">
        <v>273</v>
      </c>
      <c r="F3" s="15" t="s">
        <v>274</v>
      </c>
      <c r="G3" s="15" t="s">
        <v>275</v>
      </c>
      <c r="H3" s="15" t="s">
        <v>31</v>
      </c>
    </row>
    <row r="4" customFormat="false" ht="46.25" hidden="false" customHeight="false" outlineLevel="0" collapsed="false">
      <c r="A4" s="14" t="s">
        <v>276</v>
      </c>
      <c r="B4" s="14" t="s">
        <v>24</v>
      </c>
      <c r="C4" s="15" t="s">
        <v>277</v>
      </c>
      <c r="D4" s="15" t="s">
        <v>278</v>
      </c>
      <c r="E4" s="15" t="s">
        <v>279</v>
      </c>
      <c r="F4" s="15" t="s">
        <v>280</v>
      </c>
      <c r="G4" s="15" t="s">
        <v>281</v>
      </c>
      <c r="H4" s="15" t="s">
        <v>31</v>
      </c>
    </row>
    <row r="5" customFormat="false" ht="35.05" hidden="false" customHeight="false" outlineLevel="0" collapsed="false">
      <c r="A5" s="14" t="s">
        <v>282</v>
      </c>
      <c r="B5" s="14" t="s">
        <v>24</v>
      </c>
      <c r="C5" s="15" t="s">
        <v>283</v>
      </c>
      <c r="D5" s="15" t="s">
        <v>284</v>
      </c>
      <c r="E5" s="15" t="s">
        <v>285</v>
      </c>
      <c r="F5" s="15" t="s">
        <v>286</v>
      </c>
      <c r="G5" s="15" t="s">
        <v>287</v>
      </c>
      <c r="H5" s="15" t="s">
        <v>31</v>
      </c>
    </row>
    <row r="6" customFormat="false" ht="57.45" hidden="false" customHeight="false" outlineLevel="0" collapsed="false">
      <c r="A6" s="14" t="s">
        <v>288</v>
      </c>
      <c r="B6" s="14" t="s">
        <v>24</v>
      </c>
      <c r="C6" s="15" t="s">
        <v>289</v>
      </c>
      <c r="D6" s="15" t="s">
        <v>290</v>
      </c>
      <c r="E6" s="15" t="s">
        <v>291</v>
      </c>
      <c r="F6" s="15" t="s">
        <v>292</v>
      </c>
      <c r="G6" s="15" t="s">
        <v>293</v>
      </c>
      <c r="H6" s="15" t="s">
        <v>31</v>
      </c>
    </row>
    <row r="7" customFormat="false" ht="35.05" hidden="false" customHeight="false" outlineLevel="0" collapsed="false">
      <c r="A7" s="14" t="s">
        <v>294</v>
      </c>
      <c r="B7" s="14" t="s">
        <v>24</v>
      </c>
      <c r="C7" s="15" t="s">
        <v>295</v>
      </c>
      <c r="D7" s="15" t="s">
        <v>296</v>
      </c>
      <c r="E7" s="15" t="s">
        <v>297</v>
      </c>
      <c r="F7" s="15" t="s">
        <v>298</v>
      </c>
      <c r="G7" s="15" t="s">
        <v>299</v>
      </c>
      <c r="H7" s="15" t="s">
        <v>31</v>
      </c>
    </row>
    <row r="8" customFormat="false" ht="15" hidden="false" customHeight="false" outlineLevel="0" collapsed="false">
      <c r="A8" s="14" t="s">
        <v>300</v>
      </c>
      <c r="B8" s="14" t="s">
        <v>24</v>
      </c>
      <c r="C8" s="15" t="s">
        <v>301</v>
      </c>
      <c r="D8" s="15" t="s">
        <v>302</v>
      </c>
      <c r="E8" s="15" t="s">
        <v>303</v>
      </c>
      <c r="F8" s="15" t="s">
        <v>304</v>
      </c>
      <c r="G8" s="15" t="s">
        <v>305</v>
      </c>
      <c r="H8" s="15" t="s">
        <v>31</v>
      </c>
    </row>
    <row r="9" customFormat="false" ht="23.85" hidden="false" customHeight="false" outlineLevel="0" collapsed="false">
      <c r="A9" s="14" t="s">
        <v>306</v>
      </c>
      <c r="B9" s="14" t="s">
        <v>24</v>
      </c>
      <c r="C9" s="15" t="s">
        <v>307</v>
      </c>
      <c r="D9" s="15" t="s">
        <v>308</v>
      </c>
      <c r="E9" s="15" t="s">
        <v>309</v>
      </c>
      <c r="F9" s="15" t="s">
        <v>310</v>
      </c>
      <c r="G9" s="15" t="s">
        <v>305</v>
      </c>
      <c r="H9" s="15" t="s">
        <v>31</v>
      </c>
    </row>
    <row r="10" customFormat="false" ht="35.05" hidden="false" customHeight="false" outlineLevel="0" collapsed="false">
      <c r="A10" s="14" t="s">
        <v>311</v>
      </c>
      <c r="B10" s="14" t="s">
        <v>24</v>
      </c>
      <c r="C10" s="15" t="s">
        <v>312</v>
      </c>
      <c r="D10" s="15" t="s">
        <v>313</v>
      </c>
      <c r="E10" s="15" t="s">
        <v>309</v>
      </c>
      <c r="F10" s="15" t="s">
        <v>314</v>
      </c>
      <c r="G10" s="15" t="s">
        <v>315</v>
      </c>
      <c r="H10" s="15" t="s">
        <v>31</v>
      </c>
    </row>
    <row r="11" customFormat="false" ht="23.85" hidden="false" customHeight="false" outlineLevel="0" collapsed="false">
      <c r="A11" s="14" t="s">
        <v>91</v>
      </c>
      <c r="B11" s="14" t="s">
        <v>24</v>
      </c>
      <c r="C11" s="15" t="s">
        <v>316</v>
      </c>
      <c r="D11" s="15" t="s">
        <v>317</v>
      </c>
      <c r="E11" s="15" t="s">
        <v>318</v>
      </c>
      <c r="F11" s="15" t="s">
        <v>319</v>
      </c>
      <c r="G11" s="15" t="s">
        <v>320</v>
      </c>
      <c r="H11" s="15" t="s">
        <v>31</v>
      </c>
    </row>
    <row r="12" customFormat="false" ht="35.05" hidden="false" customHeight="false" outlineLevel="0" collapsed="false">
      <c r="A12" s="14" t="s">
        <v>152</v>
      </c>
      <c r="B12" s="14" t="s">
        <v>24</v>
      </c>
      <c r="C12" s="15" t="s">
        <v>321</v>
      </c>
      <c r="D12" s="15" t="s">
        <v>322</v>
      </c>
      <c r="E12" s="15" t="s">
        <v>323</v>
      </c>
      <c r="F12" s="15" t="s">
        <v>324</v>
      </c>
      <c r="G12" s="15" t="s">
        <v>325</v>
      </c>
      <c r="H12" s="15" t="s">
        <v>31</v>
      </c>
    </row>
    <row r="13" customFormat="false" ht="23.85" hidden="false" customHeight="false" outlineLevel="0" collapsed="false">
      <c r="A13" s="14" t="s">
        <v>326</v>
      </c>
      <c r="B13" s="14" t="s">
        <v>24</v>
      </c>
      <c r="C13" s="15" t="s">
        <v>327</v>
      </c>
      <c r="D13" s="15" t="s">
        <v>328</v>
      </c>
      <c r="E13" s="15" t="s">
        <v>329</v>
      </c>
      <c r="F13" s="15" t="s">
        <v>330</v>
      </c>
      <c r="G13" s="15" t="s">
        <v>331</v>
      </c>
      <c r="H13" s="15" t="s">
        <v>31</v>
      </c>
    </row>
    <row r="14" customFormat="false" ht="23.85" hidden="false" customHeight="false" outlineLevel="0" collapsed="false">
      <c r="A14" s="14" t="s">
        <v>332</v>
      </c>
      <c r="B14" s="14" t="s">
        <v>24</v>
      </c>
      <c r="C14" s="15" t="s">
        <v>333</v>
      </c>
      <c r="D14" s="15" t="s">
        <v>334</v>
      </c>
      <c r="E14" s="15" t="s">
        <v>335</v>
      </c>
      <c r="F14" s="15" t="s">
        <v>336</v>
      </c>
      <c r="G14" s="15" t="s">
        <v>337</v>
      </c>
      <c r="H14" s="15" t="s">
        <v>31</v>
      </c>
    </row>
    <row r="15" customFormat="false" ht="35.05" hidden="false" customHeight="false" outlineLevel="0" collapsed="false">
      <c r="A15" s="14" t="s">
        <v>338</v>
      </c>
      <c r="B15" s="14" t="s">
        <v>25</v>
      </c>
      <c r="C15" s="15" t="s">
        <v>339</v>
      </c>
      <c r="D15" s="15" t="s">
        <v>340</v>
      </c>
      <c r="E15" s="15" t="s">
        <v>341</v>
      </c>
      <c r="F15" s="15" t="s">
        <v>342</v>
      </c>
      <c r="G15" s="15" t="s">
        <v>343</v>
      </c>
      <c r="H15" s="15" t="s">
        <v>31</v>
      </c>
    </row>
    <row r="16" customFormat="false" ht="35.05" hidden="false" customHeight="false" outlineLevel="0" collapsed="false">
      <c r="A16" s="14" t="s">
        <v>344</v>
      </c>
      <c r="B16" s="14" t="s">
        <v>25</v>
      </c>
      <c r="C16" s="15" t="s">
        <v>345</v>
      </c>
      <c r="D16" s="15" t="s">
        <v>346</v>
      </c>
      <c r="E16" s="15" t="s">
        <v>347</v>
      </c>
      <c r="F16" s="15" t="s">
        <v>348</v>
      </c>
      <c r="G16" s="15" t="s">
        <v>349</v>
      </c>
      <c r="H16" s="15" t="s">
        <v>31</v>
      </c>
    </row>
    <row r="17" customFormat="false" ht="46.25" hidden="false" customHeight="false" outlineLevel="0" collapsed="false">
      <c r="A17" s="14" t="s">
        <v>213</v>
      </c>
      <c r="B17" s="14" t="s">
        <v>25</v>
      </c>
      <c r="C17" s="15" t="s">
        <v>350</v>
      </c>
      <c r="D17" s="15" t="s">
        <v>351</v>
      </c>
      <c r="E17" s="15" t="s">
        <v>352</v>
      </c>
      <c r="F17" s="15" t="s">
        <v>353</v>
      </c>
      <c r="G17" s="15" t="s">
        <v>354</v>
      </c>
      <c r="H17" s="15" t="s">
        <v>31</v>
      </c>
    </row>
    <row r="18" customFormat="false" ht="35.05" hidden="false" customHeight="false" outlineLevel="0" collapsed="false">
      <c r="A18" s="14" t="s">
        <v>355</v>
      </c>
      <c r="B18" s="14" t="s">
        <v>25</v>
      </c>
      <c r="C18" s="15" t="s">
        <v>356</v>
      </c>
      <c r="D18" s="15" t="s">
        <v>357</v>
      </c>
      <c r="E18" s="15" t="s">
        <v>358</v>
      </c>
      <c r="F18" s="15" t="s">
        <v>359</v>
      </c>
      <c r="G18" s="15" t="s">
        <v>360</v>
      </c>
      <c r="H18" s="15" t="s">
        <v>31</v>
      </c>
    </row>
    <row r="19" customFormat="false" ht="35.05" hidden="false" customHeight="false" outlineLevel="0" collapsed="false">
      <c r="A19" s="14" t="s">
        <v>361</v>
      </c>
      <c r="B19" s="14" t="s">
        <v>25</v>
      </c>
      <c r="C19" s="15" t="s">
        <v>362</v>
      </c>
      <c r="D19" s="15" t="s">
        <v>363</v>
      </c>
      <c r="E19" s="15" t="s">
        <v>364</v>
      </c>
      <c r="F19" s="15" t="s">
        <v>365</v>
      </c>
      <c r="G19" s="15" t="s">
        <v>366</v>
      </c>
      <c r="H19" s="15" t="s">
        <v>31</v>
      </c>
    </row>
    <row r="20" customFormat="false" ht="23.85" hidden="false" customHeight="false" outlineLevel="0" collapsed="false">
      <c r="A20" s="14" t="s">
        <v>367</v>
      </c>
      <c r="B20" s="14" t="s">
        <v>25</v>
      </c>
      <c r="C20" s="15" t="s">
        <v>368</v>
      </c>
      <c r="D20" s="15" t="s">
        <v>369</v>
      </c>
      <c r="E20" s="15" t="s">
        <v>370</v>
      </c>
      <c r="F20" s="15" t="s">
        <v>371</v>
      </c>
      <c r="G20" s="15" t="s">
        <v>372</v>
      </c>
      <c r="H20" s="15" t="s">
        <v>31</v>
      </c>
    </row>
    <row r="21" customFormat="false" ht="23.85" hidden="false" customHeight="false" outlineLevel="0" collapsed="false">
      <c r="A21" s="14" t="s">
        <v>373</v>
      </c>
      <c r="B21" s="14" t="s">
        <v>25</v>
      </c>
      <c r="C21" s="15" t="s">
        <v>374</v>
      </c>
      <c r="D21" s="15" t="s">
        <v>375</v>
      </c>
      <c r="E21" s="15" t="s">
        <v>329</v>
      </c>
      <c r="F21" s="15" t="s">
        <v>376</v>
      </c>
      <c r="G21" s="15" t="s">
        <v>377</v>
      </c>
      <c r="H21" s="15" t="s">
        <v>31</v>
      </c>
    </row>
    <row r="22" customFormat="false" ht="23.85" hidden="false" customHeight="false" outlineLevel="0" collapsed="false">
      <c r="A22" s="14" t="s">
        <v>251</v>
      </c>
      <c r="B22" s="14" t="s">
        <v>25</v>
      </c>
      <c r="C22" s="15" t="s">
        <v>378</v>
      </c>
      <c r="D22" s="15" t="s">
        <v>379</v>
      </c>
      <c r="E22" s="15" t="s">
        <v>380</v>
      </c>
      <c r="F22" s="15" t="s">
        <v>381</v>
      </c>
      <c r="G22" s="15" t="s">
        <v>382</v>
      </c>
      <c r="H22" s="15" t="s">
        <v>31</v>
      </c>
    </row>
    <row r="23" customFormat="false" ht="23.85" hidden="false" customHeight="false" outlineLevel="0" collapsed="false">
      <c r="A23" s="14" t="s">
        <v>383</v>
      </c>
      <c r="B23" s="14" t="s">
        <v>25</v>
      </c>
      <c r="C23" s="15" t="s">
        <v>384</v>
      </c>
      <c r="D23" s="15" t="s">
        <v>385</v>
      </c>
      <c r="E23" s="15" t="s">
        <v>329</v>
      </c>
      <c r="F23" s="15" t="s">
        <v>386</v>
      </c>
      <c r="G23" s="15" t="s">
        <v>387</v>
      </c>
      <c r="H23" s="15" t="s">
        <v>31</v>
      </c>
    </row>
    <row r="24" customFormat="false" ht="23.85" hidden="false" customHeight="false" outlineLevel="0" collapsed="false">
      <c r="A24" s="14" t="s">
        <v>388</v>
      </c>
      <c r="B24" s="14" t="s">
        <v>25</v>
      </c>
      <c r="C24" s="15" t="s">
        <v>389</v>
      </c>
      <c r="D24" s="15" t="s">
        <v>390</v>
      </c>
      <c r="E24" s="15" t="s">
        <v>370</v>
      </c>
      <c r="F24" s="15" t="s">
        <v>391</v>
      </c>
      <c r="G24" s="15" t="s">
        <v>392</v>
      </c>
      <c r="H24" s="15" t="s">
        <v>31</v>
      </c>
    </row>
    <row r="25" customFormat="false" ht="35.05" hidden="false" customHeight="false" outlineLevel="0" collapsed="false">
      <c r="A25" s="14" t="s">
        <v>393</v>
      </c>
      <c r="B25" s="14" t="s">
        <v>25</v>
      </c>
      <c r="C25" s="15" t="s">
        <v>394</v>
      </c>
      <c r="D25" s="15" t="s">
        <v>395</v>
      </c>
      <c r="E25" s="15" t="s">
        <v>396</v>
      </c>
      <c r="F25" s="15" t="s">
        <v>397</v>
      </c>
      <c r="G25" s="15" t="s">
        <v>398</v>
      </c>
      <c r="H25" s="15" t="s">
        <v>31</v>
      </c>
    </row>
    <row r="26" customFormat="false" ht="23.85" hidden="false" customHeight="false" outlineLevel="0" collapsed="false">
      <c r="A26" s="14" t="s">
        <v>399</v>
      </c>
      <c r="B26" s="14" t="s">
        <v>25</v>
      </c>
      <c r="C26" s="15" t="s">
        <v>400</v>
      </c>
      <c r="D26" s="15" t="s">
        <v>401</v>
      </c>
      <c r="E26" s="15" t="s">
        <v>402</v>
      </c>
      <c r="F26" s="15" t="s">
        <v>403</v>
      </c>
      <c r="G26" s="15" t="s">
        <v>404</v>
      </c>
      <c r="H26" s="15" t="s">
        <v>31</v>
      </c>
    </row>
    <row r="27" customFormat="false" ht="35.05" hidden="false" customHeight="false" outlineLevel="0" collapsed="false">
      <c r="A27" s="14" t="s">
        <v>405</v>
      </c>
      <c r="B27" s="14" t="s">
        <v>25</v>
      </c>
      <c r="C27" s="15" t="s">
        <v>406</v>
      </c>
      <c r="D27" s="15" t="s">
        <v>407</v>
      </c>
      <c r="E27" s="15" t="s">
        <v>408</v>
      </c>
      <c r="F27" s="15" t="s">
        <v>409</v>
      </c>
      <c r="G27" s="15" t="s">
        <v>410</v>
      </c>
      <c r="H27" s="15" t="s">
        <v>31</v>
      </c>
    </row>
  </sheetData>
  <autoFilter ref="A1:H27"/>
  <dataValidations count="1">
    <dataValidation allowBlank="true" errorStyle="stop" operator="between" showDropDown="false" showErrorMessage="false" showInputMessage="false" sqref="H2:H200" type="list">
      <formula1>"รอยืนยัน,ยืนยันแล้ว,ยกเลิก"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2026-10-26T09:02:03Z</dcterms:created>
  <dc:creator>openpyxl</dc:creator>
  <dc:description/>
  <dc:language>en-US</dc:language>
  <cp:lastModifiedBy/>
  <dcterms:modified xsi:type="dcterms:W3CDTF">2026-10-26T09:02:03Z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